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ichael\PycharmProjects\pythonProject\Renewables\EV_Stations\"/>
    </mc:Choice>
  </mc:AlternateContent>
  <bookViews>
    <workbookView xWindow="0" yWindow="0" windowWidth="24000" windowHeight="9780"/>
  </bookViews>
  <sheets>
    <sheet name="Center_Cities" sheetId="3" r:id="rId1"/>
    <sheet name="Cities" sheetId="2" r:id="rId2"/>
    <sheet name="Raw List" sheetId="1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75" i="2" l="1"/>
  <c r="E74" i="2"/>
  <c r="E73" i="2"/>
  <c r="E72" i="2"/>
  <c r="E71" i="2"/>
  <c r="E70" i="2"/>
  <c r="E69" i="2"/>
  <c r="E68" i="2"/>
  <c r="E67" i="2"/>
  <c r="E66" i="2"/>
  <c r="E65" i="2"/>
  <c r="E64" i="2"/>
  <c r="E63" i="2"/>
  <c r="E62" i="2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E2" i="2"/>
  <c r="C70" i="2" l="1"/>
  <c r="B21" i="2" l="1"/>
  <c r="C21" i="2" s="1"/>
  <c r="D21" i="2"/>
  <c r="A15" i="2"/>
  <c r="B15" i="2"/>
  <c r="C15" i="2" s="1"/>
  <c r="D15" i="2"/>
  <c r="A2" i="2"/>
  <c r="B2" i="2"/>
  <c r="C2" i="2" s="1"/>
  <c r="D2" i="2"/>
  <c r="A3" i="2"/>
  <c r="B3" i="2"/>
  <c r="C3" i="2" s="1"/>
  <c r="D3" i="2"/>
  <c r="A4" i="2"/>
  <c r="B4" i="2"/>
  <c r="C4" i="2" s="1"/>
  <c r="D4" i="2"/>
  <c r="A5" i="2"/>
  <c r="B5" i="2"/>
  <c r="C5" i="2" s="1"/>
  <c r="D5" i="2"/>
  <c r="A6" i="2"/>
  <c r="B6" i="2"/>
  <c r="C6" i="2" s="1"/>
  <c r="D6" i="2"/>
  <c r="A7" i="2"/>
  <c r="D7" i="2"/>
  <c r="A8" i="2"/>
  <c r="B8" i="2"/>
  <c r="C8" i="2" s="1"/>
  <c r="D8" i="2"/>
  <c r="D9" i="2"/>
  <c r="D10" i="2"/>
  <c r="A11" i="2"/>
  <c r="B11" i="2"/>
  <c r="C11" i="2" s="1"/>
  <c r="D11" i="2"/>
  <c r="D12" i="2"/>
  <c r="D13" i="2"/>
  <c r="D14" i="2"/>
  <c r="A16" i="2"/>
  <c r="B16" i="2"/>
  <c r="C16" i="2" s="1"/>
  <c r="D16" i="2"/>
  <c r="A17" i="2"/>
  <c r="B17" i="2"/>
  <c r="C17" i="2" s="1"/>
  <c r="D17" i="2"/>
  <c r="D18" i="2"/>
  <c r="D19" i="2"/>
  <c r="A20" i="2"/>
  <c r="B20" i="2"/>
  <c r="C20" i="2" s="1"/>
  <c r="D20" i="2"/>
  <c r="A22" i="2"/>
  <c r="B22" i="2"/>
  <c r="C22" i="2" s="1"/>
  <c r="D22" i="2"/>
  <c r="B23" i="2"/>
  <c r="C23" i="2" s="1"/>
  <c r="D23" i="2"/>
  <c r="A24" i="2"/>
  <c r="B24" i="2"/>
  <c r="C24" i="2" s="1"/>
  <c r="D24" i="2"/>
  <c r="B25" i="2"/>
  <c r="C25" i="2" s="1"/>
  <c r="D25" i="2"/>
  <c r="A26" i="2"/>
  <c r="B26" i="2"/>
  <c r="C26" i="2" s="1"/>
  <c r="D26" i="2"/>
  <c r="A27" i="2"/>
  <c r="B27" i="2"/>
  <c r="C27" i="2" s="1"/>
  <c r="D27" i="2"/>
  <c r="A28" i="2"/>
  <c r="B28" i="2"/>
  <c r="C28" i="2" s="1"/>
  <c r="D28" i="2"/>
  <c r="D29" i="2"/>
  <c r="A30" i="2"/>
  <c r="B30" i="2"/>
  <c r="C30" i="2" s="1"/>
  <c r="D30" i="2"/>
  <c r="D31" i="2"/>
  <c r="D32" i="2"/>
  <c r="A33" i="2"/>
  <c r="B33" i="2"/>
  <c r="C33" i="2" s="1"/>
  <c r="D33" i="2"/>
  <c r="A34" i="2"/>
  <c r="B34" i="2"/>
  <c r="C34" i="2" s="1"/>
  <c r="D34" i="2"/>
  <c r="A35" i="2"/>
  <c r="B35" i="2"/>
  <c r="C35" i="2" s="1"/>
  <c r="D35" i="2"/>
  <c r="A36" i="2"/>
  <c r="B36" i="2"/>
  <c r="C36" i="2" s="1"/>
  <c r="D36" i="2"/>
  <c r="A37" i="2"/>
  <c r="D37" i="2"/>
  <c r="A38" i="2"/>
  <c r="B38" i="2"/>
  <c r="C38" i="2" s="1"/>
  <c r="D38" i="2"/>
  <c r="A39" i="2"/>
  <c r="B39" i="2"/>
  <c r="C39" i="2" s="1"/>
  <c r="D39" i="2"/>
  <c r="D40" i="2"/>
  <c r="D41" i="2"/>
  <c r="A42" i="2"/>
  <c r="B42" i="2"/>
  <c r="C42" i="2" s="1"/>
  <c r="D42" i="2"/>
  <c r="A43" i="2"/>
  <c r="B43" i="2"/>
  <c r="C43" i="2" s="1"/>
  <c r="D43" i="2"/>
  <c r="B44" i="2"/>
  <c r="C44" i="2" s="1"/>
  <c r="D44" i="2"/>
  <c r="D45" i="2"/>
  <c r="A46" i="2"/>
  <c r="B46" i="2"/>
  <c r="C46" i="2" s="1"/>
  <c r="D46" i="2"/>
  <c r="A47" i="2"/>
  <c r="B47" i="2"/>
  <c r="C47" i="2" s="1"/>
  <c r="D47" i="2"/>
  <c r="B48" i="2"/>
  <c r="C48" i="2" s="1"/>
  <c r="D48" i="2"/>
  <c r="A49" i="2"/>
  <c r="B49" i="2"/>
  <c r="C49" i="2" s="1"/>
  <c r="D49" i="2"/>
  <c r="A50" i="2"/>
  <c r="B50" i="2"/>
  <c r="C50" i="2" s="1"/>
  <c r="D50" i="2"/>
  <c r="A51" i="2"/>
  <c r="B51" i="2"/>
  <c r="C51" i="2" s="1"/>
  <c r="D51" i="2"/>
  <c r="D52" i="2"/>
  <c r="A53" i="2"/>
  <c r="B53" i="2"/>
  <c r="C53" i="2" s="1"/>
  <c r="D53" i="2"/>
  <c r="A54" i="2"/>
  <c r="B54" i="2"/>
  <c r="C54" i="2" s="1"/>
  <c r="D54" i="2"/>
  <c r="B55" i="2"/>
  <c r="C55" i="2" s="1"/>
  <c r="D55" i="2"/>
  <c r="B56" i="2"/>
  <c r="C56" i="2" s="1"/>
  <c r="D56" i="2"/>
  <c r="A57" i="2"/>
  <c r="B57" i="2"/>
  <c r="C57" i="2" s="1"/>
  <c r="D57" i="2"/>
  <c r="A58" i="2"/>
  <c r="B58" i="2"/>
  <c r="C58" i="2" s="1"/>
  <c r="D58" i="2"/>
  <c r="A59" i="2"/>
  <c r="B59" i="2"/>
  <c r="C59" i="2" s="1"/>
  <c r="D59" i="2"/>
  <c r="A60" i="2"/>
  <c r="B60" i="2"/>
  <c r="C60" i="2" s="1"/>
  <c r="D60" i="2"/>
  <c r="A61" i="2"/>
  <c r="B61" i="2"/>
  <c r="C61" i="2" s="1"/>
  <c r="D61" i="2"/>
  <c r="A62" i="2"/>
  <c r="B62" i="2"/>
  <c r="C62" i="2" s="1"/>
  <c r="D62" i="2"/>
  <c r="A63" i="2"/>
  <c r="B63" i="2"/>
  <c r="C63" i="2" s="1"/>
  <c r="D63" i="2"/>
  <c r="B64" i="2"/>
  <c r="C64" i="2" s="1"/>
  <c r="D64" i="2"/>
  <c r="A65" i="2"/>
  <c r="B65" i="2"/>
  <c r="C65" i="2" s="1"/>
  <c r="D65" i="2"/>
  <c r="A66" i="2"/>
  <c r="B66" i="2"/>
  <c r="C66" i="2" s="1"/>
  <c r="D66" i="2"/>
  <c r="A67" i="2"/>
  <c r="B67" i="2"/>
  <c r="C67" i="2" s="1"/>
  <c r="D67" i="2"/>
  <c r="A68" i="2"/>
  <c r="B68" i="2"/>
  <c r="C68" i="2" s="1"/>
  <c r="D68" i="2"/>
  <c r="D69" i="2"/>
  <c r="A70" i="2"/>
  <c r="D70" i="2"/>
  <c r="A71" i="2"/>
  <c r="B71" i="2"/>
  <c r="C71" i="2" s="1"/>
  <c r="D71" i="2"/>
  <c r="A72" i="2"/>
  <c r="B72" i="2"/>
  <c r="C72" i="2" s="1"/>
  <c r="D72" i="2"/>
  <c r="A73" i="2"/>
  <c r="B73" i="2"/>
  <c r="C73" i="2" s="1"/>
  <c r="D73" i="2"/>
  <c r="A74" i="2"/>
  <c r="B74" i="2"/>
  <c r="C74" i="2" s="1"/>
  <c r="D74" i="2"/>
  <c r="A75" i="2"/>
  <c r="B75" i="2"/>
  <c r="C75" i="2" s="1"/>
  <c r="D75" i="2"/>
  <c r="L1377" i="1"/>
  <c r="M1377" i="1" s="1"/>
  <c r="L1376" i="1"/>
  <c r="M1376" i="1" s="1"/>
  <c r="L1375" i="1"/>
  <c r="M1375" i="1" s="1"/>
  <c r="L1374" i="1"/>
  <c r="M1374" i="1" s="1"/>
  <c r="L1373" i="1"/>
  <c r="M1373" i="1" s="1"/>
  <c r="L1372" i="1"/>
  <c r="M1372" i="1" s="1"/>
  <c r="L1371" i="1"/>
  <c r="M1371" i="1" s="1"/>
  <c r="L1370" i="1"/>
  <c r="M1370" i="1" s="1"/>
  <c r="L1369" i="1"/>
  <c r="M1369" i="1" s="1"/>
  <c r="L1368" i="1"/>
  <c r="M1368" i="1" s="1"/>
  <c r="L1367" i="1"/>
  <c r="M1367" i="1" s="1"/>
  <c r="L1366" i="1"/>
  <c r="M1366" i="1" s="1"/>
  <c r="L1365" i="1"/>
  <c r="M1365" i="1" s="1"/>
  <c r="L1364" i="1"/>
  <c r="M1364" i="1" s="1"/>
  <c r="L1363" i="1"/>
  <c r="M1363" i="1" s="1"/>
  <c r="L1362" i="1"/>
  <c r="M1362" i="1" s="1"/>
  <c r="L1361" i="1"/>
  <c r="M1361" i="1" s="1"/>
  <c r="L1357" i="1"/>
  <c r="M1357" i="1" s="1"/>
  <c r="L1356" i="1"/>
  <c r="M1356" i="1" s="1"/>
  <c r="L1355" i="1"/>
  <c r="M1355" i="1" s="1"/>
  <c r="L1354" i="1"/>
  <c r="M1354" i="1" s="1"/>
  <c r="L1353" i="1"/>
  <c r="M1353" i="1" s="1"/>
  <c r="L1352" i="1"/>
  <c r="M1352" i="1" s="1"/>
  <c r="L1351" i="1"/>
  <c r="M1351" i="1" s="1"/>
  <c r="L1350" i="1"/>
  <c r="M1350" i="1" s="1"/>
  <c r="L1349" i="1"/>
  <c r="M1349" i="1" s="1"/>
  <c r="L1348" i="1"/>
  <c r="M1348" i="1" s="1"/>
  <c r="L1347" i="1"/>
  <c r="M1347" i="1" s="1"/>
  <c r="L1346" i="1"/>
  <c r="M1346" i="1" s="1"/>
  <c r="L1345" i="1"/>
  <c r="M1345" i="1" s="1"/>
  <c r="L1344" i="1"/>
  <c r="M1344" i="1" s="1"/>
  <c r="L1343" i="1"/>
  <c r="M1343" i="1" s="1"/>
  <c r="L1342" i="1"/>
  <c r="M1342" i="1" s="1"/>
  <c r="L1341" i="1"/>
  <c r="M1341" i="1" s="1"/>
  <c r="L1337" i="1"/>
  <c r="M1337" i="1" s="1"/>
  <c r="L1336" i="1"/>
  <c r="M1336" i="1" s="1"/>
  <c r="L1335" i="1"/>
  <c r="M1335" i="1" s="1"/>
  <c r="L1334" i="1"/>
  <c r="M1334" i="1" s="1"/>
  <c r="L1333" i="1"/>
  <c r="M1333" i="1" s="1"/>
  <c r="L1332" i="1"/>
  <c r="M1332" i="1" s="1"/>
  <c r="L1331" i="1"/>
  <c r="M1331" i="1" s="1"/>
  <c r="L1330" i="1"/>
  <c r="M1330" i="1" s="1"/>
  <c r="L1329" i="1"/>
  <c r="M1329" i="1" s="1"/>
  <c r="L1328" i="1"/>
  <c r="M1328" i="1" s="1"/>
  <c r="L1327" i="1"/>
  <c r="M1327" i="1" s="1"/>
  <c r="L1326" i="1"/>
  <c r="M1326" i="1" s="1"/>
  <c r="L1322" i="1"/>
  <c r="M1322" i="1" s="1"/>
  <c r="L1321" i="1"/>
  <c r="M1321" i="1" s="1"/>
  <c r="L1320" i="1"/>
  <c r="M1320" i="1" s="1"/>
  <c r="L1319" i="1"/>
  <c r="M1319" i="1" s="1"/>
  <c r="L1318" i="1"/>
  <c r="M1318" i="1" s="1"/>
  <c r="L1317" i="1"/>
  <c r="M1317" i="1" s="1"/>
  <c r="L1316" i="1"/>
  <c r="M1316" i="1" s="1"/>
  <c r="L1315" i="1"/>
  <c r="M1315" i="1" s="1"/>
  <c r="L1314" i="1"/>
  <c r="M1314" i="1" s="1"/>
  <c r="L1313" i="1"/>
  <c r="M1313" i="1" s="1"/>
  <c r="L1312" i="1"/>
  <c r="M1312" i="1" s="1"/>
  <c r="L1311" i="1"/>
  <c r="M1311" i="1" s="1"/>
  <c r="L1310" i="1"/>
  <c r="M1310" i="1" s="1"/>
  <c r="L1309" i="1"/>
  <c r="M1309" i="1" s="1"/>
  <c r="L1308" i="1"/>
  <c r="M1308" i="1" s="1"/>
  <c r="L1307" i="1"/>
  <c r="M1307" i="1" s="1"/>
  <c r="L1306" i="1"/>
  <c r="M1306" i="1" s="1"/>
  <c r="L1305" i="1"/>
  <c r="M1305" i="1" s="1"/>
  <c r="L1304" i="1"/>
  <c r="M1304" i="1" s="1"/>
  <c r="L1303" i="1"/>
  <c r="M1303" i="1" s="1"/>
  <c r="L1302" i="1"/>
  <c r="M1302" i="1" s="1"/>
  <c r="L1301" i="1"/>
  <c r="M1301" i="1" s="1"/>
  <c r="L1300" i="1"/>
  <c r="M1300" i="1" s="1"/>
  <c r="L1299" i="1"/>
  <c r="M1299" i="1" s="1"/>
  <c r="L1298" i="1"/>
  <c r="M1298" i="1" s="1"/>
  <c r="L1297" i="1"/>
  <c r="M1297" i="1" s="1"/>
  <c r="L1296" i="1"/>
  <c r="M1296" i="1" s="1"/>
  <c r="L1295" i="1"/>
  <c r="M1295" i="1" s="1"/>
  <c r="L1294" i="1"/>
  <c r="M1294" i="1" s="1"/>
  <c r="L1293" i="1"/>
  <c r="M1293" i="1" s="1"/>
  <c r="L1292" i="1"/>
  <c r="M1292" i="1" s="1"/>
  <c r="L1291" i="1"/>
  <c r="M1291" i="1" s="1"/>
  <c r="L1290" i="1"/>
  <c r="M1290" i="1" s="1"/>
  <c r="L1286" i="1"/>
  <c r="M1286" i="1" s="1"/>
  <c r="L1285" i="1"/>
  <c r="M1285" i="1" s="1"/>
  <c r="L1284" i="1"/>
  <c r="M1284" i="1" s="1"/>
  <c r="L1283" i="1"/>
  <c r="M1283" i="1" s="1"/>
  <c r="L1282" i="1"/>
  <c r="M1282" i="1" s="1"/>
  <c r="L1281" i="1"/>
  <c r="M1281" i="1" s="1"/>
  <c r="L1280" i="1"/>
  <c r="M1280" i="1" s="1"/>
  <c r="L1279" i="1"/>
  <c r="M1279" i="1" s="1"/>
  <c r="L1278" i="1"/>
  <c r="M1278" i="1" s="1"/>
  <c r="L1277" i="1"/>
  <c r="M1277" i="1" s="1"/>
  <c r="L1276" i="1"/>
  <c r="M1276" i="1" s="1"/>
  <c r="L1275" i="1"/>
  <c r="M1275" i="1" s="1"/>
  <c r="L1274" i="1"/>
  <c r="M1274" i="1" s="1"/>
  <c r="L1273" i="1"/>
  <c r="M1273" i="1" s="1"/>
  <c r="L1272" i="1"/>
  <c r="M1272" i="1" s="1"/>
  <c r="L1271" i="1"/>
  <c r="M1271" i="1" s="1"/>
  <c r="L1270" i="1"/>
  <c r="M1270" i="1" s="1"/>
  <c r="L1269" i="1"/>
  <c r="M1269" i="1" s="1"/>
  <c r="L1265" i="1"/>
  <c r="M1265" i="1" s="1"/>
  <c r="L1264" i="1"/>
  <c r="M1264" i="1" s="1"/>
  <c r="L1263" i="1"/>
  <c r="M1263" i="1" s="1"/>
  <c r="L1262" i="1"/>
  <c r="M1262" i="1" s="1"/>
  <c r="L1261" i="1"/>
  <c r="M1261" i="1" s="1"/>
  <c r="L1260" i="1"/>
  <c r="M1260" i="1" s="1"/>
  <c r="L1256" i="1"/>
  <c r="M1256" i="1" s="1"/>
  <c r="L1255" i="1"/>
  <c r="M1255" i="1" s="1"/>
  <c r="L1254" i="1"/>
  <c r="M1254" i="1" s="1"/>
  <c r="L1253" i="1"/>
  <c r="M1253" i="1" s="1"/>
  <c r="L1252" i="1"/>
  <c r="M1252" i="1" s="1"/>
  <c r="L1251" i="1"/>
  <c r="M1251" i="1" s="1"/>
  <c r="L1250" i="1"/>
  <c r="M1250" i="1" s="1"/>
  <c r="L1249" i="1"/>
  <c r="M1249" i="1" s="1"/>
  <c r="L1248" i="1"/>
  <c r="M1248" i="1" s="1"/>
  <c r="L1247" i="1"/>
  <c r="M1247" i="1" s="1"/>
  <c r="L1246" i="1"/>
  <c r="M1246" i="1" s="1"/>
  <c r="L1245" i="1"/>
  <c r="M1245" i="1" s="1"/>
  <c r="L1244" i="1"/>
  <c r="M1244" i="1" s="1"/>
  <c r="L1243" i="1"/>
  <c r="M1243" i="1" s="1"/>
  <c r="L1242" i="1"/>
  <c r="M1242" i="1" s="1"/>
  <c r="L1241" i="1"/>
  <c r="M1241" i="1" s="1"/>
  <c r="L1240" i="1"/>
  <c r="M1240" i="1" s="1"/>
  <c r="L1239" i="1"/>
  <c r="M1239" i="1" s="1"/>
  <c r="L1238" i="1"/>
  <c r="M1238" i="1" s="1"/>
  <c r="L1237" i="1"/>
  <c r="M1237" i="1" s="1"/>
  <c r="L1236" i="1"/>
  <c r="M1236" i="1" s="1"/>
  <c r="L1232" i="1"/>
  <c r="M1232" i="1" s="1"/>
  <c r="L1231" i="1"/>
  <c r="M1231" i="1" s="1"/>
  <c r="L1230" i="1"/>
  <c r="M1230" i="1" s="1"/>
  <c r="L1229" i="1"/>
  <c r="M1229" i="1" s="1"/>
  <c r="L1228" i="1"/>
  <c r="M1228" i="1" s="1"/>
  <c r="L1227" i="1"/>
  <c r="M1227" i="1" s="1"/>
  <c r="L1226" i="1"/>
  <c r="M1226" i="1" s="1"/>
  <c r="L1225" i="1"/>
  <c r="M1225" i="1" s="1"/>
  <c r="L1224" i="1"/>
  <c r="M1224" i="1" s="1"/>
  <c r="L1223" i="1"/>
  <c r="M1223" i="1" s="1"/>
  <c r="L1222" i="1"/>
  <c r="M1222" i="1" s="1"/>
  <c r="L1220" i="1"/>
  <c r="M1220" i="1" s="1"/>
  <c r="L1219" i="1"/>
  <c r="M1219" i="1" s="1"/>
  <c r="L1218" i="1"/>
  <c r="M1218" i="1" s="1"/>
  <c r="L1217" i="1"/>
  <c r="M1217" i="1" s="1"/>
  <c r="L1216" i="1"/>
  <c r="M1216" i="1" s="1"/>
  <c r="L1215" i="1"/>
  <c r="M1215" i="1" s="1"/>
  <c r="L1214" i="1"/>
  <c r="M1214" i="1" s="1"/>
  <c r="L1213" i="1"/>
  <c r="M1213" i="1" s="1"/>
  <c r="L1212" i="1"/>
  <c r="M1212" i="1" s="1"/>
  <c r="L1211" i="1"/>
  <c r="M1211" i="1" s="1"/>
  <c r="L1210" i="1"/>
  <c r="M1210" i="1" s="1"/>
  <c r="L1209" i="1"/>
  <c r="M1209" i="1" s="1"/>
  <c r="L1208" i="1"/>
  <c r="M1208" i="1" s="1"/>
  <c r="L1207" i="1"/>
  <c r="M1207" i="1" s="1"/>
  <c r="L1206" i="1"/>
  <c r="M1206" i="1" s="1"/>
  <c r="L1205" i="1"/>
  <c r="M1205" i="1" s="1"/>
  <c r="L1204" i="1"/>
  <c r="M1204" i="1" s="1"/>
  <c r="L1203" i="1"/>
  <c r="M1203" i="1" s="1"/>
  <c r="L1202" i="1"/>
  <c r="M1202" i="1" s="1"/>
  <c r="L1201" i="1"/>
  <c r="M1201" i="1" s="1"/>
  <c r="L1200" i="1"/>
  <c r="M1200" i="1" s="1"/>
  <c r="L1199" i="1"/>
  <c r="M1199" i="1" s="1"/>
  <c r="L1198" i="1"/>
  <c r="M1198" i="1" s="1"/>
  <c r="L1197" i="1"/>
  <c r="M1197" i="1" s="1"/>
  <c r="L1196" i="1"/>
  <c r="M1196" i="1" s="1"/>
  <c r="L1195" i="1"/>
  <c r="M1195" i="1" s="1"/>
  <c r="L1194" i="1"/>
  <c r="M1194" i="1" s="1"/>
  <c r="L1193" i="1"/>
  <c r="M1193" i="1" s="1"/>
  <c r="L1192" i="1"/>
  <c r="M1192" i="1" s="1"/>
  <c r="L1191" i="1"/>
  <c r="M1191" i="1" s="1"/>
  <c r="L1190" i="1"/>
  <c r="M1190" i="1" s="1"/>
  <c r="L1189" i="1"/>
  <c r="M1189" i="1" s="1"/>
  <c r="L1188" i="1"/>
  <c r="M1188" i="1" s="1"/>
  <c r="L1187" i="1"/>
  <c r="M1187" i="1" s="1"/>
  <c r="L1186" i="1"/>
  <c r="M1186" i="1" s="1"/>
  <c r="L1185" i="1"/>
  <c r="M1185" i="1" s="1"/>
  <c r="L1184" i="1"/>
  <c r="M1184" i="1" s="1"/>
  <c r="L1183" i="1"/>
  <c r="M1183" i="1" s="1"/>
  <c r="L1182" i="1"/>
  <c r="M1182" i="1" s="1"/>
  <c r="L1181" i="1"/>
  <c r="M1181" i="1" s="1"/>
  <c r="L1180" i="1"/>
  <c r="M1180" i="1" s="1"/>
  <c r="L1179" i="1"/>
  <c r="M1179" i="1" s="1"/>
  <c r="L1178" i="1"/>
  <c r="M1178" i="1" s="1"/>
  <c r="L1177" i="1"/>
  <c r="M1177" i="1" s="1"/>
  <c r="L1176" i="1"/>
  <c r="M1176" i="1" s="1"/>
  <c r="L1175" i="1"/>
  <c r="M1175" i="1" s="1"/>
  <c r="L1174" i="1"/>
  <c r="M1174" i="1" s="1"/>
  <c r="L1173" i="1"/>
  <c r="M1173" i="1" s="1"/>
  <c r="L1172" i="1"/>
  <c r="M1172" i="1" s="1"/>
  <c r="L1171" i="1"/>
  <c r="M1171" i="1" s="1"/>
  <c r="L1170" i="1"/>
  <c r="M1170" i="1" s="1"/>
  <c r="L1169" i="1"/>
  <c r="M1169" i="1" s="1"/>
  <c r="L1168" i="1"/>
  <c r="M1168" i="1" s="1"/>
  <c r="L1167" i="1"/>
  <c r="M1167" i="1" s="1"/>
  <c r="L1166" i="1"/>
  <c r="M1166" i="1" s="1"/>
  <c r="L1165" i="1"/>
  <c r="M1165" i="1" s="1"/>
  <c r="L1164" i="1"/>
  <c r="M1164" i="1" s="1"/>
  <c r="L1163" i="1"/>
  <c r="M1163" i="1" s="1"/>
  <c r="L1162" i="1"/>
  <c r="M1162" i="1" s="1"/>
  <c r="L1158" i="1"/>
  <c r="M1158" i="1" s="1"/>
  <c r="L1157" i="1"/>
  <c r="M1157" i="1" s="1"/>
  <c r="L1156" i="1"/>
  <c r="M1156" i="1" s="1"/>
  <c r="L1155" i="1"/>
  <c r="M1155" i="1" s="1"/>
  <c r="L1154" i="1"/>
  <c r="M1154" i="1" s="1"/>
  <c r="L1153" i="1"/>
  <c r="M1153" i="1" s="1"/>
  <c r="L1152" i="1"/>
  <c r="M1152" i="1" s="1"/>
  <c r="L1151" i="1"/>
  <c r="M1151" i="1" s="1"/>
  <c r="L1150" i="1"/>
  <c r="M1150" i="1" s="1"/>
  <c r="L1149" i="1"/>
  <c r="M1149" i="1" s="1"/>
  <c r="L1148" i="1"/>
  <c r="M1148" i="1" s="1"/>
  <c r="L1147" i="1"/>
  <c r="M1147" i="1" s="1"/>
  <c r="L1143" i="1"/>
  <c r="M1143" i="1" s="1"/>
  <c r="L1142" i="1"/>
  <c r="M1142" i="1" s="1"/>
  <c r="L1141" i="1"/>
  <c r="M1141" i="1" s="1"/>
  <c r="L1140" i="1"/>
  <c r="M1140" i="1" s="1"/>
  <c r="L1139" i="1"/>
  <c r="M1139" i="1" s="1"/>
  <c r="L1138" i="1"/>
  <c r="M1138" i="1" s="1"/>
  <c r="L1137" i="1"/>
  <c r="M1137" i="1" s="1"/>
  <c r="L1136" i="1"/>
  <c r="M1136" i="1" s="1"/>
  <c r="L1135" i="1"/>
  <c r="M1135" i="1" s="1"/>
  <c r="L1134" i="1"/>
  <c r="M1134" i="1" s="1"/>
  <c r="L1133" i="1"/>
  <c r="M1133" i="1" s="1"/>
  <c r="L1132" i="1"/>
  <c r="M1132" i="1" s="1"/>
  <c r="L1131" i="1"/>
  <c r="M1131" i="1" s="1"/>
  <c r="L1130" i="1"/>
  <c r="M1130" i="1" s="1"/>
  <c r="L1129" i="1"/>
  <c r="M1129" i="1" s="1"/>
  <c r="L1128" i="1"/>
  <c r="M1128" i="1" s="1"/>
  <c r="L1127" i="1"/>
  <c r="M1127" i="1" s="1"/>
  <c r="L1126" i="1"/>
  <c r="M1126" i="1" s="1"/>
  <c r="L1122" i="1"/>
  <c r="M1122" i="1" s="1"/>
  <c r="L1121" i="1"/>
  <c r="M1121" i="1" s="1"/>
  <c r="L1120" i="1"/>
  <c r="M1120" i="1" s="1"/>
  <c r="L1119" i="1"/>
  <c r="M1119" i="1" s="1"/>
  <c r="L1118" i="1"/>
  <c r="M1118" i="1" s="1"/>
  <c r="L1117" i="1"/>
  <c r="M1117" i="1" s="1"/>
  <c r="L1116" i="1"/>
  <c r="M1116" i="1" s="1"/>
  <c r="L1115" i="1"/>
  <c r="M1115" i="1" s="1"/>
  <c r="L1114" i="1"/>
  <c r="M1114" i="1" s="1"/>
  <c r="L1113" i="1"/>
  <c r="M1113" i="1" s="1"/>
  <c r="L1112" i="1"/>
  <c r="M1112" i="1" s="1"/>
  <c r="L1111" i="1"/>
  <c r="M1111" i="1" s="1"/>
  <c r="L1107" i="1"/>
  <c r="M1107" i="1" s="1"/>
  <c r="L1106" i="1"/>
  <c r="M1106" i="1" s="1"/>
  <c r="L1105" i="1"/>
  <c r="M1105" i="1" s="1"/>
  <c r="L1104" i="1"/>
  <c r="M1104" i="1" s="1"/>
  <c r="L1100" i="1"/>
  <c r="M1100" i="1" s="1"/>
  <c r="L1099" i="1"/>
  <c r="M1099" i="1" s="1"/>
  <c r="L1098" i="1"/>
  <c r="M1098" i="1" s="1"/>
  <c r="L1097" i="1"/>
  <c r="M1097" i="1" s="1"/>
  <c r="L1096" i="1"/>
  <c r="M1096" i="1" s="1"/>
  <c r="L1095" i="1"/>
  <c r="M1095" i="1" s="1"/>
  <c r="L1094" i="1"/>
  <c r="M1094" i="1" s="1"/>
  <c r="L1093" i="1"/>
  <c r="M1093" i="1" s="1"/>
  <c r="L1092" i="1"/>
  <c r="M1092" i="1" s="1"/>
  <c r="L1091" i="1"/>
  <c r="M1091" i="1" s="1"/>
  <c r="L1090" i="1"/>
  <c r="M1090" i="1" s="1"/>
  <c r="L1089" i="1"/>
  <c r="M1089" i="1" s="1"/>
  <c r="L1088" i="1"/>
  <c r="M1088" i="1" s="1"/>
  <c r="L1087" i="1"/>
  <c r="M1087" i="1" s="1"/>
  <c r="L1086" i="1"/>
  <c r="M1086" i="1" s="1"/>
  <c r="L1085" i="1"/>
  <c r="M1085" i="1" s="1"/>
  <c r="L1084" i="1"/>
  <c r="M1084" i="1" s="1"/>
  <c r="L1083" i="1"/>
  <c r="M1083" i="1" s="1"/>
  <c r="L1082" i="1"/>
  <c r="M1082" i="1" s="1"/>
  <c r="L1081" i="1"/>
  <c r="M1081" i="1" s="1"/>
  <c r="L1080" i="1"/>
  <c r="M1080" i="1" s="1"/>
  <c r="L1079" i="1"/>
  <c r="M1079" i="1" s="1"/>
  <c r="L1078" i="1"/>
  <c r="M1078" i="1" s="1"/>
  <c r="L1077" i="1"/>
  <c r="M1077" i="1" s="1"/>
  <c r="L1076" i="1"/>
  <c r="M1076" i="1" s="1"/>
  <c r="L1075" i="1"/>
  <c r="M1075" i="1" s="1"/>
  <c r="L1071" i="1"/>
  <c r="M1071" i="1" s="1"/>
  <c r="L1070" i="1"/>
  <c r="M1070" i="1" s="1"/>
  <c r="L1069" i="1"/>
  <c r="M1069" i="1" s="1"/>
  <c r="L1068" i="1"/>
  <c r="M1068" i="1" s="1"/>
  <c r="L1067" i="1"/>
  <c r="M1067" i="1" s="1"/>
  <c r="L1066" i="1"/>
  <c r="M1066" i="1" s="1"/>
  <c r="L1065" i="1"/>
  <c r="M1065" i="1" s="1"/>
  <c r="L1064" i="1"/>
  <c r="M1064" i="1" s="1"/>
  <c r="L1063" i="1"/>
  <c r="M1063" i="1" s="1"/>
  <c r="L1062" i="1"/>
  <c r="M1062" i="1" s="1"/>
  <c r="L1061" i="1"/>
  <c r="M1061" i="1" s="1"/>
  <c r="L1060" i="1"/>
  <c r="M1060" i="1" s="1"/>
  <c r="L1059" i="1"/>
  <c r="M1059" i="1" s="1"/>
  <c r="L1058" i="1"/>
  <c r="M1058" i="1" s="1"/>
  <c r="L1057" i="1"/>
  <c r="M1057" i="1" s="1"/>
  <c r="L1056" i="1"/>
  <c r="M1056" i="1" s="1"/>
  <c r="L1055" i="1"/>
  <c r="M1055" i="1" s="1"/>
  <c r="L1054" i="1"/>
  <c r="M1054" i="1" s="1"/>
  <c r="L1053" i="1"/>
  <c r="M1053" i="1" s="1"/>
  <c r="L1052" i="1"/>
  <c r="M1052" i="1" s="1"/>
  <c r="L1051" i="1"/>
  <c r="M1051" i="1" s="1"/>
  <c r="L1050" i="1"/>
  <c r="M1050" i="1" s="1"/>
  <c r="L1049" i="1"/>
  <c r="M1049" i="1" s="1"/>
  <c r="L1048" i="1"/>
  <c r="M1048" i="1" s="1"/>
  <c r="L1047" i="1"/>
  <c r="M1047" i="1" s="1"/>
  <c r="L1046" i="1"/>
  <c r="M1046" i="1" s="1"/>
  <c r="L1042" i="1"/>
  <c r="M1042" i="1" s="1"/>
  <c r="L1041" i="1"/>
  <c r="M1041" i="1" s="1"/>
  <c r="L1040" i="1"/>
  <c r="M1040" i="1" s="1"/>
  <c r="L1039" i="1"/>
  <c r="M1039" i="1" s="1"/>
  <c r="L1038" i="1"/>
  <c r="M1038" i="1" s="1"/>
  <c r="L1037" i="1"/>
  <c r="M1037" i="1" s="1"/>
  <c r="L1036" i="1"/>
  <c r="M1036" i="1" s="1"/>
  <c r="L1035" i="1"/>
  <c r="M1035" i="1" s="1"/>
  <c r="L1034" i="1"/>
  <c r="M1034" i="1" s="1"/>
  <c r="L1033" i="1"/>
  <c r="M1033" i="1" s="1"/>
  <c r="L1032" i="1"/>
  <c r="M1032" i="1" s="1"/>
  <c r="L1031" i="1"/>
  <c r="M1031" i="1" s="1"/>
  <c r="L1030" i="1"/>
  <c r="M1030" i="1" s="1"/>
  <c r="L1029" i="1"/>
  <c r="M1029" i="1" s="1"/>
  <c r="L1028" i="1"/>
  <c r="M1028" i="1" s="1"/>
  <c r="L1027" i="1"/>
  <c r="M1027" i="1" s="1"/>
  <c r="L1026" i="1"/>
  <c r="M1026" i="1" s="1"/>
  <c r="L1025" i="1"/>
  <c r="M1025" i="1" s="1"/>
  <c r="L1024" i="1"/>
  <c r="M1024" i="1" s="1"/>
  <c r="L1020" i="1"/>
  <c r="M1020" i="1" s="1"/>
  <c r="L1019" i="1"/>
  <c r="M1019" i="1" s="1"/>
  <c r="L1018" i="1"/>
  <c r="M1018" i="1" s="1"/>
  <c r="L1017" i="1"/>
  <c r="M1017" i="1" s="1"/>
  <c r="L1016" i="1"/>
  <c r="M1016" i="1" s="1"/>
  <c r="L1015" i="1"/>
  <c r="M1015" i="1" s="1"/>
  <c r="L1014" i="1"/>
  <c r="M1014" i="1" s="1"/>
  <c r="L1013" i="1"/>
  <c r="M1013" i="1" s="1"/>
  <c r="L1012" i="1"/>
  <c r="M1012" i="1" s="1"/>
  <c r="L1011" i="1"/>
  <c r="M1011" i="1" s="1"/>
  <c r="L1010" i="1"/>
  <c r="M1010" i="1" s="1"/>
  <c r="L1009" i="1"/>
  <c r="M1009" i="1" s="1"/>
  <c r="L1008" i="1"/>
  <c r="M1008" i="1" s="1"/>
  <c r="L1007" i="1"/>
  <c r="M1007" i="1" s="1"/>
  <c r="L1006" i="1"/>
  <c r="M1006" i="1" s="1"/>
  <c r="L1005" i="1"/>
  <c r="M1005" i="1" s="1"/>
  <c r="L1004" i="1"/>
  <c r="M1004" i="1" s="1"/>
  <c r="L1003" i="1"/>
  <c r="M1003" i="1" s="1"/>
  <c r="L999" i="1"/>
  <c r="M999" i="1" s="1"/>
  <c r="L998" i="1"/>
  <c r="M998" i="1" s="1"/>
  <c r="L997" i="1"/>
  <c r="M997" i="1" s="1"/>
  <c r="L996" i="1"/>
  <c r="M996" i="1" s="1"/>
  <c r="L995" i="1"/>
  <c r="M995" i="1" s="1"/>
  <c r="L994" i="1"/>
  <c r="M994" i="1" s="1"/>
  <c r="L993" i="1"/>
  <c r="M993" i="1" s="1"/>
  <c r="L992" i="1"/>
  <c r="M992" i="1" s="1"/>
  <c r="L991" i="1"/>
  <c r="M991" i="1" s="1"/>
  <c r="L990" i="1"/>
  <c r="M990" i="1" s="1"/>
  <c r="L989" i="1"/>
  <c r="M989" i="1" s="1"/>
  <c r="L988" i="1"/>
  <c r="M988" i="1" s="1"/>
  <c r="L987" i="1"/>
  <c r="M987" i="1" s="1"/>
  <c r="L983" i="1"/>
  <c r="M983" i="1" s="1"/>
  <c r="L982" i="1"/>
  <c r="M982" i="1" s="1"/>
  <c r="L981" i="1"/>
  <c r="M981" i="1" s="1"/>
  <c r="L980" i="1"/>
  <c r="M980" i="1" s="1"/>
  <c r="L979" i="1"/>
  <c r="M979" i="1" s="1"/>
  <c r="L977" i="1"/>
  <c r="M977" i="1" s="1"/>
  <c r="L976" i="1"/>
  <c r="M976" i="1" s="1"/>
  <c r="L975" i="1"/>
  <c r="M975" i="1" s="1"/>
  <c r="L974" i="1"/>
  <c r="M974" i="1" s="1"/>
  <c r="L973" i="1"/>
  <c r="M973" i="1" s="1"/>
  <c r="L972" i="1"/>
  <c r="M972" i="1" s="1"/>
  <c r="L971" i="1"/>
  <c r="M971" i="1" s="1"/>
  <c r="L970" i="1"/>
  <c r="M970" i="1" s="1"/>
  <c r="L969" i="1"/>
  <c r="M969" i="1" s="1"/>
  <c r="L968" i="1"/>
  <c r="M968" i="1" s="1"/>
  <c r="L967" i="1"/>
  <c r="M967" i="1" s="1"/>
  <c r="L966" i="1"/>
  <c r="M966" i="1" s="1"/>
  <c r="L965" i="1"/>
  <c r="M965" i="1" s="1"/>
  <c r="L964" i="1"/>
  <c r="M964" i="1" s="1"/>
  <c r="L963" i="1"/>
  <c r="M963" i="1" s="1"/>
  <c r="L962" i="1"/>
  <c r="M962" i="1" s="1"/>
  <c r="L961" i="1"/>
  <c r="M961" i="1" s="1"/>
  <c r="L960" i="1"/>
  <c r="M960" i="1" s="1"/>
  <c r="L959" i="1"/>
  <c r="M959" i="1" s="1"/>
  <c r="L955" i="1"/>
  <c r="M955" i="1" s="1"/>
  <c r="L954" i="1"/>
  <c r="M954" i="1" s="1"/>
  <c r="L953" i="1"/>
  <c r="M953" i="1" s="1"/>
  <c r="L952" i="1"/>
  <c r="M952" i="1" s="1"/>
  <c r="L951" i="1"/>
  <c r="M951" i="1" s="1"/>
  <c r="L950" i="1"/>
  <c r="M950" i="1" s="1"/>
  <c r="L949" i="1"/>
  <c r="M949" i="1" s="1"/>
  <c r="L948" i="1"/>
  <c r="M948" i="1" s="1"/>
  <c r="L947" i="1"/>
  <c r="M947" i="1" s="1"/>
  <c r="L946" i="1"/>
  <c r="M946" i="1" s="1"/>
  <c r="L945" i="1"/>
  <c r="M945" i="1" s="1"/>
  <c r="L944" i="1"/>
  <c r="M944" i="1" s="1"/>
  <c r="L943" i="1"/>
  <c r="M943" i="1" s="1"/>
  <c r="L942" i="1"/>
  <c r="M942" i="1" s="1"/>
  <c r="L941" i="1"/>
  <c r="M941" i="1" s="1"/>
  <c r="L940" i="1"/>
  <c r="M940" i="1" s="1"/>
  <c r="L939" i="1"/>
  <c r="M939" i="1" s="1"/>
  <c r="L938" i="1"/>
  <c r="M938" i="1" s="1"/>
  <c r="L937" i="1"/>
  <c r="M937" i="1" s="1"/>
  <c r="L936" i="1"/>
  <c r="M936" i="1" s="1"/>
  <c r="L935" i="1"/>
  <c r="M935" i="1" s="1"/>
  <c r="L934" i="1"/>
  <c r="M934" i="1" s="1"/>
  <c r="L933" i="1"/>
  <c r="M933" i="1" s="1"/>
  <c r="L932" i="1"/>
  <c r="M932" i="1" s="1"/>
  <c r="L931" i="1"/>
  <c r="M931" i="1" s="1"/>
  <c r="L930" i="1"/>
  <c r="M930" i="1" s="1"/>
  <c r="L929" i="1"/>
  <c r="M929" i="1" s="1"/>
  <c r="L928" i="1"/>
  <c r="M928" i="1" s="1"/>
  <c r="L927" i="1"/>
  <c r="M927" i="1" s="1"/>
  <c r="L926" i="1"/>
  <c r="M926" i="1" s="1"/>
  <c r="L925" i="1"/>
  <c r="M925" i="1" s="1"/>
  <c r="L924" i="1"/>
  <c r="M924" i="1" s="1"/>
  <c r="L923" i="1"/>
  <c r="M923" i="1" s="1"/>
  <c r="M919" i="1"/>
  <c r="L919" i="1"/>
  <c r="L918" i="1"/>
  <c r="M918" i="1" s="1"/>
  <c r="M917" i="1"/>
  <c r="L917" i="1"/>
  <c r="L916" i="1"/>
  <c r="M916" i="1" s="1"/>
  <c r="M915" i="1"/>
  <c r="L915" i="1"/>
  <c r="L914" i="1"/>
  <c r="M914" i="1" s="1"/>
  <c r="M913" i="1"/>
  <c r="L913" i="1"/>
  <c r="L912" i="1"/>
  <c r="M912" i="1" s="1"/>
  <c r="M911" i="1"/>
  <c r="L911" i="1"/>
  <c r="L910" i="1"/>
  <c r="M910" i="1" s="1"/>
  <c r="M909" i="1"/>
  <c r="L909" i="1"/>
  <c r="L908" i="1"/>
  <c r="M908" i="1" s="1"/>
  <c r="M907" i="1"/>
  <c r="L907" i="1"/>
  <c r="L906" i="1"/>
  <c r="M906" i="1" s="1"/>
  <c r="M905" i="1"/>
  <c r="L905" i="1"/>
  <c r="L904" i="1"/>
  <c r="M904" i="1" s="1"/>
  <c r="M903" i="1"/>
  <c r="L903" i="1"/>
  <c r="L902" i="1"/>
  <c r="M902" i="1" s="1"/>
  <c r="M901" i="1"/>
  <c r="L901" i="1"/>
  <c r="L900" i="1"/>
  <c r="M900" i="1" s="1"/>
  <c r="M899" i="1"/>
  <c r="L899" i="1"/>
  <c r="L898" i="1"/>
  <c r="M898" i="1" s="1"/>
  <c r="M897" i="1"/>
  <c r="L897" i="1"/>
  <c r="L896" i="1"/>
  <c r="M896" i="1" s="1"/>
  <c r="M895" i="1"/>
  <c r="L895" i="1"/>
  <c r="L894" i="1"/>
  <c r="M894" i="1" s="1"/>
  <c r="L890" i="1"/>
  <c r="M890" i="1" s="1"/>
  <c r="L889" i="1"/>
  <c r="M889" i="1" s="1"/>
  <c r="L888" i="1"/>
  <c r="M888" i="1" s="1"/>
  <c r="L887" i="1"/>
  <c r="M887" i="1" s="1"/>
  <c r="L886" i="1"/>
  <c r="M886" i="1" s="1"/>
  <c r="L885" i="1"/>
  <c r="M885" i="1" s="1"/>
  <c r="L884" i="1"/>
  <c r="M884" i="1" s="1"/>
  <c r="L883" i="1"/>
  <c r="M883" i="1" s="1"/>
  <c r="L882" i="1"/>
  <c r="M882" i="1" s="1"/>
  <c r="L881" i="1"/>
  <c r="M881" i="1" s="1"/>
  <c r="L877" i="1"/>
  <c r="M877" i="1" s="1"/>
  <c r="L876" i="1"/>
  <c r="M876" i="1" s="1"/>
  <c r="L875" i="1"/>
  <c r="M875" i="1" s="1"/>
  <c r="L874" i="1"/>
  <c r="M874" i="1" s="1"/>
  <c r="L873" i="1"/>
  <c r="M873" i="1" s="1"/>
  <c r="L872" i="1"/>
  <c r="M872" i="1" s="1"/>
  <c r="L871" i="1"/>
  <c r="M871" i="1" s="1"/>
  <c r="L870" i="1"/>
  <c r="M870" i="1" s="1"/>
  <c r="L869" i="1"/>
  <c r="M869" i="1" s="1"/>
  <c r="L868" i="1"/>
  <c r="M868" i="1" s="1"/>
  <c r="L867" i="1"/>
  <c r="M867" i="1" s="1"/>
  <c r="L863" i="1"/>
  <c r="M863" i="1" s="1"/>
  <c r="L862" i="1"/>
  <c r="M862" i="1" s="1"/>
  <c r="L861" i="1"/>
  <c r="M861" i="1" s="1"/>
  <c r="L860" i="1"/>
  <c r="M860" i="1" s="1"/>
  <c r="L859" i="1"/>
  <c r="M859" i="1" s="1"/>
  <c r="L858" i="1"/>
  <c r="M858" i="1" s="1"/>
  <c r="L857" i="1"/>
  <c r="M857" i="1" s="1"/>
  <c r="L856" i="1"/>
  <c r="M856" i="1" s="1"/>
  <c r="L855" i="1"/>
  <c r="M855" i="1" s="1"/>
  <c r="L854" i="1"/>
  <c r="M854" i="1" s="1"/>
  <c r="B45" i="2" s="1"/>
  <c r="C45" i="2" s="1"/>
  <c r="L853" i="1"/>
  <c r="M853" i="1" s="1"/>
  <c r="L852" i="1"/>
  <c r="M852" i="1" s="1"/>
  <c r="L851" i="1"/>
  <c r="M851" i="1" s="1"/>
  <c r="L850" i="1"/>
  <c r="M850" i="1" s="1"/>
  <c r="L849" i="1"/>
  <c r="M849" i="1" s="1"/>
  <c r="L848" i="1"/>
  <c r="M848" i="1" s="1"/>
  <c r="L847" i="1"/>
  <c r="M847" i="1" s="1"/>
  <c r="L846" i="1"/>
  <c r="M846" i="1" s="1"/>
  <c r="L845" i="1"/>
  <c r="M845" i="1" s="1"/>
  <c r="L844" i="1"/>
  <c r="M844" i="1" s="1"/>
  <c r="L843" i="1"/>
  <c r="M843" i="1" s="1"/>
  <c r="L839" i="1"/>
  <c r="M839" i="1" s="1"/>
  <c r="L838" i="1"/>
  <c r="M838" i="1" s="1"/>
  <c r="L837" i="1"/>
  <c r="M837" i="1" s="1"/>
  <c r="L836" i="1"/>
  <c r="M836" i="1" s="1"/>
  <c r="L835" i="1"/>
  <c r="M835" i="1" s="1"/>
  <c r="L834" i="1"/>
  <c r="M834" i="1" s="1"/>
  <c r="L833" i="1"/>
  <c r="M833" i="1" s="1"/>
  <c r="L832" i="1"/>
  <c r="M832" i="1" s="1"/>
  <c r="L831" i="1"/>
  <c r="M831" i="1" s="1"/>
  <c r="L830" i="1"/>
  <c r="M830" i="1" s="1"/>
  <c r="L829" i="1"/>
  <c r="M829" i="1" s="1"/>
  <c r="L828" i="1"/>
  <c r="M828" i="1" s="1"/>
  <c r="L827" i="1"/>
  <c r="M827" i="1" s="1"/>
  <c r="L826" i="1"/>
  <c r="M826" i="1" s="1"/>
  <c r="L825" i="1"/>
  <c r="M825" i="1" s="1"/>
  <c r="L824" i="1"/>
  <c r="M824" i="1" s="1"/>
  <c r="L823" i="1"/>
  <c r="M823" i="1" s="1"/>
  <c r="L822" i="1"/>
  <c r="M822" i="1" s="1"/>
  <c r="L821" i="1"/>
  <c r="M821" i="1" s="1"/>
  <c r="L820" i="1"/>
  <c r="M820" i="1" s="1"/>
  <c r="L819" i="1"/>
  <c r="M819" i="1" s="1"/>
  <c r="L818" i="1"/>
  <c r="M818" i="1" s="1"/>
  <c r="L817" i="1"/>
  <c r="M817" i="1" s="1"/>
  <c r="L816" i="1"/>
  <c r="M816" i="1" s="1"/>
  <c r="L815" i="1"/>
  <c r="M815" i="1" s="1"/>
  <c r="L814" i="1"/>
  <c r="M814" i="1" s="1"/>
  <c r="L813" i="1"/>
  <c r="M813" i="1" s="1"/>
  <c r="L809" i="1"/>
  <c r="M809" i="1" s="1"/>
  <c r="L808" i="1"/>
  <c r="M808" i="1" s="1"/>
  <c r="L807" i="1"/>
  <c r="M807" i="1" s="1"/>
  <c r="L806" i="1"/>
  <c r="M806" i="1" s="1"/>
  <c r="L805" i="1"/>
  <c r="M805" i="1" s="1"/>
  <c r="L804" i="1"/>
  <c r="M804" i="1" s="1"/>
  <c r="L803" i="1"/>
  <c r="M803" i="1" s="1"/>
  <c r="L802" i="1"/>
  <c r="M802" i="1" s="1"/>
  <c r="L801" i="1"/>
  <c r="M801" i="1" s="1"/>
  <c r="L800" i="1"/>
  <c r="M800" i="1" s="1"/>
  <c r="L799" i="1"/>
  <c r="M799" i="1" s="1"/>
  <c r="L798" i="1"/>
  <c r="M798" i="1" s="1"/>
  <c r="L797" i="1"/>
  <c r="M797" i="1" s="1"/>
  <c r="L796" i="1"/>
  <c r="M796" i="1" s="1"/>
  <c r="L795" i="1"/>
  <c r="M795" i="1" s="1"/>
  <c r="L794" i="1"/>
  <c r="M794" i="1" s="1"/>
  <c r="L793" i="1"/>
  <c r="M793" i="1" s="1"/>
  <c r="L792" i="1"/>
  <c r="M792" i="1" s="1"/>
  <c r="L791" i="1"/>
  <c r="M791" i="1" s="1"/>
  <c r="L790" i="1"/>
  <c r="M790" i="1" s="1"/>
  <c r="L789" i="1"/>
  <c r="M789" i="1" s="1"/>
  <c r="L788" i="1"/>
  <c r="M788" i="1" s="1"/>
  <c r="L787" i="1"/>
  <c r="M787" i="1" s="1"/>
  <c r="L786" i="1"/>
  <c r="M786" i="1" s="1"/>
  <c r="L785" i="1"/>
  <c r="M785" i="1" s="1"/>
  <c r="L784" i="1"/>
  <c r="M784" i="1" s="1"/>
  <c r="L780" i="1"/>
  <c r="M780" i="1" s="1"/>
  <c r="L779" i="1"/>
  <c r="M779" i="1" s="1"/>
  <c r="L778" i="1"/>
  <c r="M778" i="1" s="1"/>
  <c r="L777" i="1"/>
  <c r="M777" i="1" s="1"/>
  <c r="L776" i="1"/>
  <c r="M776" i="1" s="1"/>
  <c r="L774" i="1"/>
  <c r="M774" i="1" s="1"/>
  <c r="L773" i="1"/>
  <c r="M773" i="1" s="1"/>
  <c r="L772" i="1"/>
  <c r="M772" i="1" s="1"/>
  <c r="L771" i="1"/>
  <c r="M771" i="1" s="1"/>
  <c r="L770" i="1"/>
  <c r="M770" i="1" s="1"/>
  <c r="L769" i="1"/>
  <c r="M769" i="1" s="1"/>
  <c r="L768" i="1"/>
  <c r="M768" i="1" s="1"/>
  <c r="L767" i="1"/>
  <c r="M767" i="1" s="1"/>
  <c r="L766" i="1"/>
  <c r="M766" i="1" s="1"/>
  <c r="L764" i="1"/>
  <c r="M764" i="1" s="1"/>
  <c r="L763" i="1"/>
  <c r="M763" i="1" s="1"/>
  <c r="L762" i="1"/>
  <c r="M762" i="1" s="1"/>
  <c r="L761" i="1"/>
  <c r="M761" i="1" s="1"/>
  <c r="L760" i="1"/>
  <c r="M760" i="1" s="1"/>
  <c r="L756" i="1"/>
  <c r="M756" i="1" s="1"/>
  <c r="L755" i="1"/>
  <c r="M755" i="1" s="1"/>
  <c r="L754" i="1"/>
  <c r="M754" i="1" s="1"/>
  <c r="L753" i="1"/>
  <c r="M753" i="1" s="1"/>
  <c r="L752" i="1"/>
  <c r="M752" i="1" s="1"/>
  <c r="L751" i="1"/>
  <c r="M751" i="1" s="1"/>
  <c r="L750" i="1"/>
  <c r="M750" i="1" s="1"/>
  <c r="L749" i="1"/>
  <c r="M749" i="1" s="1"/>
  <c r="L748" i="1"/>
  <c r="M748" i="1" s="1"/>
  <c r="L747" i="1"/>
  <c r="M747" i="1" s="1"/>
  <c r="L746" i="1"/>
  <c r="M746" i="1" s="1"/>
  <c r="L745" i="1"/>
  <c r="M745" i="1" s="1"/>
  <c r="L744" i="1"/>
  <c r="M744" i="1" s="1"/>
  <c r="L743" i="1"/>
  <c r="M743" i="1" s="1"/>
  <c r="L742" i="1"/>
  <c r="M742" i="1" s="1"/>
  <c r="L738" i="1"/>
  <c r="M738" i="1" s="1"/>
  <c r="L737" i="1"/>
  <c r="M737" i="1" s="1"/>
  <c r="L736" i="1"/>
  <c r="M736" i="1" s="1"/>
  <c r="L735" i="1"/>
  <c r="M735" i="1" s="1"/>
  <c r="L734" i="1"/>
  <c r="M734" i="1" s="1"/>
  <c r="L733" i="1"/>
  <c r="M733" i="1" s="1"/>
  <c r="L732" i="1"/>
  <c r="M732" i="1" s="1"/>
  <c r="L731" i="1"/>
  <c r="M731" i="1" s="1"/>
  <c r="L730" i="1"/>
  <c r="M730" i="1" s="1"/>
  <c r="L729" i="1"/>
  <c r="M729" i="1" s="1"/>
  <c r="L728" i="1"/>
  <c r="M728" i="1" s="1"/>
  <c r="L727" i="1"/>
  <c r="M727" i="1" s="1"/>
  <c r="L726" i="1"/>
  <c r="M726" i="1" s="1"/>
  <c r="L725" i="1"/>
  <c r="M725" i="1" s="1"/>
  <c r="L724" i="1"/>
  <c r="M724" i="1" s="1"/>
  <c r="L723" i="1"/>
  <c r="M723" i="1" s="1"/>
  <c r="L722" i="1"/>
  <c r="M722" i="1" s="1"/>
  <c r="L721" i="1"/>
  <c r="M721" i="1" s="1"/>
  <c r="L720" i="1"/>
  <c r="M720" i="1" s="1"/>
  <c r="L719" i="1"/>
  <c r="M719" i="1" s="1"/>
  <c r="L718" i="1"/>
  <c r="M718" i="1" s="1"/>
  <c r="L717" i="1"/>
  <c r="M717" i="1" s="1"/>
  <c r="L716" i="1"/>
  <c r="M716" i="1" s="1"/>
  <c r="L715" i="1"/>
  <c r="M715" i="1" s="1"/>
  <c r="L714" i="1"/>
  <c r="M714" i="1" s="1"/>
  <c r="L713" i="1"/>
  <c r="M713" i="1" s="1"/>
  <c r="L712" i="1"/>
  <c r="M712" i="1" s="1"/>
  <c r="L711" i="1"/>
  <c r="M711" i="1" s="1"/>
  <c r="L707" i="1"/>
  <c r="M707" i="1" s="1"/>
  <c r="L706" i="1"/>
  <c r="M706" i="1" s="1"/>
  <c r="L705" i="1"/>
  <c r="M705" i="1" s="1"/>
  <c r="L704" i="1"/>
  <c r="M704" i="1" s="1"/>
  <c r="L703" i="1"/>
  <c r="M703" i="1" s="1"/>
  <c r="L702" i="1"/>
  <c r="M702" i="1" s="1"/>
  <c r="L701" i="1"/>
  <c r="M701" i="1" s="1"/>
  <c r="L700" i="1"/>
  <c r="M700" i="1" s="1"/>
  <c r="L699" i="1"/>
  <c r="M699" i="1" s="1"/>
  <c r="L698" i="1"/>
  <c r="M698" i="1" s="1"/>
  <c r="L697" i="1"/>
  <c r="M697" i="1" s="1"/>
  <c r="L696" i="1"/>
  <c r="M696" i="1" s="1"/>
  <c r="L695" i="1"/>
  <c r="M695" i="1" s="1"/>
  <c r="L694" i="1"/>
  <c r="M694" i="1" s="1"/>
  <c r="L693" i="1"/>
  <c r="M693" i="1" s="1"/>
  <c r="L692" i="1"/>
  <c r="M692" i="1" s="1"/>
  <c r="L691" i="1"/>
  <c r="M691" i="1" s="1"/>
  <c r="L690" i="1"/>
  <c r="M690" i="1" s="1"/>
  <c r="L689" i="1"/>
  <c r="M689" i="1" s="1"/>
  <c r="L688" i="1"/>
  <c r="M688" i="1" s="1"/>
  <c r="L687" i="1"/>
  <c r="M687" i="1" s="1"/>
  <c r="L686" i="1"/>
  <c r="M686" i="1" s="1"/>
  <c r="L685" i="1"/>
  <c r="M685" i="1" s="1"/>
  <c r="L684" i="1"/>
  <c r="M684" i="1" s="1"/>
  <c r="L683" i="1"/>
  <c r="M683" i="1" s="1"/>
  <c r="L682" i="1"/>
  <c r="M682" i="1" s="1"/>
  <c r="L681" i="1"/>
  <c r="M681" i="1" s="1"/>
  <c r="L680" i="1"/>
  <c r="M680" i="1" s="1"/>
  <c r="L679" i="1"/>
  <c r="M679" i="1" s="1"/>
  <c r="L678" i="1"/>
  <c r="M678" i="1" s="1"/>
  <c r="L677" i="1"/>
  <c r="M677" i="1" s="1"/>
  <c r="L676" i="1"/>
  <c r="M676" i="1" s="1"/>
  <c r="L674" i="1"/>
  <c r="M674" i="1" s="1"/>
  <c r="L670" i="1"/>
  <c r="M670" i="1" s="1"/>
  <c r="L669" i="1"/>
  <c r="M669" i="1" s="1"/>
  <c r="L668" i="1"/>
  <c r="M668" i="1" s="1"/>
  <c r="L667" i="1"/>
  <c r="M667" i="1" s="1"/>
  <c r="L666" i="1"/>
  <c r="M666" i="1" s="1"/>
  <c r="L665" i="1"/>
  <c r="M665" i="1" s="1"/>
  <c r="L664" i="1"/>
  <c r="M664" i="1" s="1"/>
  <c r="L663" i="1"/>
  <c r="M663" i="1" s="1"/>
  <c r="L662" i="1"/>
  <c r="M662" i="1" s="1"/>
  <c r="L661" i="1"/>
  <c r="M661" i="1" s="1"/>
  <c r="L660" i="1"/>
  <c r="M660" i="1" s="1"/>
  <c r="L659" i="1"/>
  <c r="M659" i="1" s="1"/>
  <c r="L658" i="1"/>
  <c r="M658" i="1" s="1"/>
  <c r="L657" i="1"/>
  <c r="M657" i="1" s="1"/>
  <c r="L656" i="1"/>
  <c r="M656" i="1" s="1"/>
  <c r="L655" i="1"/>
  <c r="M655" i="1" s="1"/>
  <c r="L654" i="1"/>
  <c r="M654" i="1" s="1"/>
  <c r="L653" i="1"/>
  <c r="M653" i="1" s="1"/>
  <c r="L649" i="1"/>
  <c r="M649" i="1" s="1"/>
  <c r="L648" i="1"/>
  <c r="M648" i="1" s="1"/>
  <c r="L647" i="1"/>
  <c r="M647" i="1" s="1"/>
  <c r="L646" i="1"/>
  <c r="M646" i="1" s="1"/>
  <c r="L645" i="1"/>
  <c r="M645" i="1" s="1"/>
  <c r="L644" i="1"/>
  <c r="M644" i="1" s="1"/>
  <c r="L643" i="1"/>
  <c r="M643" i="1" s="1"/>
  <c r="L642" i="1"/>
  <c r="M642" i="1" s="1"/>
  <c r="L641" i="1"/>
  <c r="M641" i="1" s="1"/>
  <c r="L640" i="1"/>
  <c r="M640" i="1" s="1"/>
  <c r="L636" i="1"/>
  <c r="M636" i="1" s="1"/>
  <c r="L635" i="1"/>
  <c r="M635" i="1" s="1"/>
  <c r="L634" i="1"/>
  <c r="M634" i="1" s="1"/>
  <c r="L633" i="1"/>
  <c r="M633" i="1" s="1"/>
  <c r="L632" i="1"/>
  <c r="M632" i="1" s="1"/>
  <c r="L631" i="1"/>
  <c r="M631" i="1" s="1"/>
  <c r="L630" i="1"/>
  <c r="M630" i="1" s="1"/>
  <c r="L629" i="1"/>
  <c r="M629" i="1" s="1"/>
  <c r="L628" i="1"/>
  <c r="M628" i="1" s="1"/>
  <c r="L627" i="1"/>
  <c r="M627" i="1" s="1"/>
  <c r="L626" i="1"/>
  <c r="M626" i="1" s="1"/>
  <c r="L625" i="1"/>
  <c r="M625" i="1" s="1"/>
  <c r="L624" i="1"/>
  <c r="M624" i="1" s="1"/>
  <c r="L620" i="1"/>
  <c r="M620" i="1" s="1"/>
  <c r="L619" i="1"/>
  <c r="M619" i="1" s="1"/>
  <c r="L618" i="1"/>
  <c r="M618" i="1" s="1"/>
  <c r="L617" i="1"/>
  <c r="M617" i="1" s="1"/>
  <c r="L616" i="1"/>
  <c r="M616" i="1" s="1"/>
  <c r="L615" i="1"/>
  <c r="M615" i="1" s="1"/>
  <c r="L613" i="1"/>
  <c r="M613" i="1" s="1"/>
  <c r="L612" i="1"/>
  <c r="M612" i="1" s="1"/>
  <c r="L611" i="1"/>
  <c r="M611" i="1" s="1"/>
  <c r="L610" i="1"/>
  <c r="M610" i="1" s="1"/>
  <c r="L609" i="1"/>
  <c r="M609" i="1" s="1"/>
  <c r="L608" i="1"/>
  <c r="M608" i="1" s="1"/>
  <c r="L607" i="1"/>
  <c r="M607" i="1" s="1"/>
  <c r="L606" i="1"/>
  <c r="M606" i="1" s="1"/>
  <c r="L605" i="1"/>
  <c r="M605" i="1" s="1"/>
  <c r="L604" i="1"/>
  <c r="M604" i="1" s="1"/>
  <c r="L603" i="1"/>
  <c r="M603" i="1" s="1"/>
  <c r="L602" i="1"/>
  <c r="M602" i="1" s="1"/>
  <c r="L601" i="1"/>
  <c r="M601" i="1" s="1"/>
  <c r="L600" i="1"/>
  <c r="M600" i="1" s="1"/>
  <c r="L599" i="1"/>
  <c r="M599" i="1" s="1"/>
  <c r="L598" i="1"/>
  <c r="M598" i="1" s="1"/>
  <c r="L597" i="1"/>
  <c r="M597" i="1" s="1"/>
  <c r="L596" i="1"/>
  <c r="M596" i="1" s="1"/>
  <c r="L594" i="1"/>
  <c r="M594" i="1" s="1"/>
  <c r="L593" i="1"/>
  <c r="M593" i="1" s="1"/>
  <c r="L589" i="1"/>
  <c r="M589" i="1" s="1"/>
  <c r="L588" i="1"/>
  <c r="M588" i="1" s="1"/>
  <c r="L587" i="1"/>
  <c r="M587" i="1" s="1"/>
  <c r="L586" i="1"/>
  <c r="M586" i="1" s="1"/>
  <c r="L585" i="1"/>
  <c r="M585" i="1" s="1"/>
  <c r="L584" i="1"/>
  <c r="M584" i="1" s="1"/>
  <c r="L583" i="1"/>
  <c r="M583" i="1" s="1"/>
  <c r="L582" i="1"/>
  <c r="M582" i="1" s="1"/>
  <c r="L581" i="1"/>
  <c r="M581" i="1" s="1"/>
  <c r="L580" i="1"/>
  <c r="M580" i="1" s="1"/>
  <c r="L579" i="1"/>
  <c r="M579" i="1" s="1"/>
  <c r="L575" i="1"/>
  <c r="M575" i="1" s="1"/>
  <c r="L574" i="1"/>
  <c r="M574" i="1" s="1"/>
  <c r="L573" i="1"/>
  <c r="M573" i="1" s="1"/>
  <c r="L572" i="1"/>
  <c r="M572" i="1" s="1"/>
  <c r="L571" i="1"/>
  <c r="M571" i="1" s="1"/>
  <c r="L570" i="1"/>
  <c r="M570" i="1" s="1"/>
  <c r="L569" i="1"/>
  <c r="M569" i="1" s="1"/>
  <c r="L568" i="1"/>
  <c r="M568" i="1" s="1"/>
  <c r="L567" i="1"/>
  <c r="M567" i="1" s="1"/>
  <c r="L566" i="1"/>
  <c r="M566" i="1" s="1"/>
  <c r="L565" i="1"/>
  <c r="M565" i="1" s="1"/>
  <c r="L564" i="1"/>
  <c r="M564" i="1" s="1"/>
  <c r="L563" i="1"/>
  <c r="M563" i="1" s="1"/>
  <c r="L562" i="1"/>
  <c r="M562" i="1" s="1"/>
  <c r="L561" i="1"/>
  <c r="M561" i="1" s="1"/>
  <c r="L560" i="1"/>
  <c r="M560" i="1" s="1"/>
  <c r="L559" i="1"/>
  <c r="M559" i="1" s="1"/>
  <c r="L558" i="1"/>
  <c r="M558" i="1" s="1"/>
  <c r="L557" i="1"/>
  <c r="M557" i="1" s="1"/>
  <c r="L556" i="1"/>
  <c r="M556" i="1" s="1"/>
  <c r="L555" i="1"/>
  <c r="M555" i="1" s="1"/>
  <c r="L554" i="1"/>
  <c r="M554" i="1" s="1"/>
  <c r="L553" i="1"/>
  <c r="M553" i="1" s="1"/>
  <c r="L552" i="1"/>
  <c r="M552" i="1" s="1"/>
  <c r="L548" i="1"/>
  <c r="M548" i="1" s="1"/>
  <c r="L547" i="1"/>
  <c r="M547" i="1" s="1"/>
  <c r="L546" i="1"/>
  <c r="M546" i="1" s="1"/>
  <c r="L545" i="1"/>
  <c r="M545" i="1" s="1"/>
  <c r="L544" i="1"/>
  <c r="M544" i="1" s="1"/>
  <c r="L543" i="1"/>
  <c r="M543" i="1" s="1"/>
  <c r="L542" i="1"/>
  <c r="M542" i="1" s="1"/>
  <c r="L541" i="1"/>
  <c r="M541" i="1" s="1"/>
  <c r="L540" i="1"/>
  <c r="M540" i="1" s="1"/>
  <c r="L538" i="1"/>
  <c r="M538" i="1" s="1"/>
  <c r="L537" i="1"/>
  <c r="M537" i="1" s="1"/>
  <c r="L533" i="1"/>
  <c r="M533" i="1" s="1"/>
  <c r="L532" i="1"/>
  <c r="M532" i="1" s="1"/>
  <c r="L531" i="1"/>
  <c r="M531" i="1" s="1"/>
  <c r="L530" i="1"/>
  <c r="M530" i="1" s="1"/>
  <c r="L529" i="1"/>
  <c r="M529" i="1" s="1"/>
  <c r="L528" i="1"/>
  <c r="M528" i="1" s="1"/>
  <c r="L527" i="1"/>
  <c r="M527" i="1" s="1"/>
  <c r="L526" i="1"/>
  <c r="M526" i="1" s="1"/>
  <c r="L525" i="1"/>
  <c r="M525" i="1" s="1"/>
  <c r="L524" i="1"/>
  <c r="M524" i="1" s="1"/>
  <c r="L523" i="1"/>
  <c r="M523" i="1" s="1"/>
  <c r="L522" i="1"/>
  <c r="M522" i="1" s="1"/>
  <c r="L517" i="1"/>
  <c r="M517" i="1" s="1"/>
  <c r="L516" i="1"/>
  <c r="M516" i="1" s="1"/>
  <c r="L515" i="1"/>
  <c r="M515" i="1" s="1"/>
  <c r="L514" i="1"/>
  <c r="M514" i="1" s="1"/>
  <c r="L513" i="1"/>
  <c r="M513" i="1" s="1"/>
  <c r="L512" i="1"/>
  <c r="M512" i="1" s="1"/>
  <c r="L511" i="1"/>
  <c r="M511" i="1" s="1"/>
  <c r="L510" i="1"/>
  <c r="M510" i="1" s="1"/>
  <c r="L509" i="1"/>
  <c r="M509" i="1" s="1"/>
  <c r="L508" i="1"/>
  <c r="M508" i="1" s="1"/>
  <c r="L507" i="1"/>
  <c r="M507" i="1" s="1"/>
  <c r="L506" i="1"/>
  <c r="M506" i="1" s="1"/>
  <c r="L505" i="1"/>
  <c r="M505" i="1" s="1"/>
  <c r="L504" i="1"/>
  <c r="M504" i="1" s="1"/>
  <c r="L503" i="1"/>
  <c r="M503" i="1" s="1"/>
  <c r="L502" i="1"/>
  <c r="M502" i="1" s="1"/>
  <c r="L501" i="1"/>
  <c r="M501" i="1" s="1"/>
  <c r="L500" i="1"/>
  <c r="M500" i="1" s="1"/>
  <c r="L499" i="1"/>
  <c r="M499" i="1" s="1"/>
  <c r="L498" i="1"/>
  <c r="M498" i="1" s="1"/>
  <c r="L497" i="1"/>
  <c r="M497" i="1" s="1"/>
  <c r="L496" i="1"/>
  <c r="M496" i="1" s="1"/>
  <c r="L495" i="1"/>
  <c r="M495" i="1" s="1"/>
  <c r="L494" i="1"/>
  <c r="M494" i="1" s="1"/>
  <c r="L493" i="1"/>
  <c r="M493" i="1" s="1"/>
  <c r="L492" i="1"/>
  <c r="M492" i="1" s="1"/>
  <c r="L491" i="1"/>
  <c r="M491" i="1" s="1"/>
  <c r="L490" i="1"/>
  <c r="M490" i="1" s="1"/>
  <c r="L489" i="1"/>
  <c r="M489" i="1" s="1"/>
  <c r="L488" i="1"/>
  <c r="M488" i="1" s="1"/>
  <c r="L487" i="1"/>
  <c r="M487" i="1" s="1"/>
  <c r="L486" i="1"/>
  <c r="M486" i="1" s="1"/>
  <c r="L485" i="1"/>
  <c r="M485" i="1" s="1"/>
  <c r="L484" i="1"/>
  <c r="M484" i="1" s="1"/>
  <c r="L483" i="1"/>
  <c r="M483" i="1" s="1"/>
  <c r="L479" i="1"/>
  <c r="M479" i="1" s="1"/>
  <c r="L478" i="1"/>
  <c r="M478" i="1" s="1"/>
  <c r="L477" i="1"/>
  <c r="M477" i="1" s="1"/>
  <c r="L476" i="1"/>
  <c r="M476" i="1" s="1"/>
  <c r="L475" i="1"/>
  <c r="M475" i="1" s="1"/>
  <c r="L474" i="1"/>
  <c r="M474" i="1" s="1"/>
  <c r="L473" i="1"/>
  <c r="M473" i="1" s="1"/>
  <c r="L472" i="1"/>
  <c r="M472" i="1" s="1"/>
  <c r="L471" i="1"/>
  <c r="M471" i="1" s="1"/>
  <c r="L470" i="1"/>
  <c r="M470" i="1" s="1"/>
  <c r="L469" i="1"/>
  <c r="M469" i="1" s="1"/>
  <c r="L468" i="1"/>
  <c r="M468" i="1" s="1"/>
  <c r="L467" i="1"/>
  <c r="M467" i="1" s="1"/>
  <c r="L466" i="1"/>
  <c r="M466" i="1" s="1"/>
  <c r="L465" i="1"/>
  <c r="M465" i="1" s="1"/>
  <c r="L464" i="1"/>
  <c r="M464" i="1" s="1"/>
  <c r="L463" i="1"/>
  <c r="M463" i="1" s="1"/>
  <c r="L462" i="1"/>
  <c r="M462" i="1" s="1"/>
  <c r="L461" i="1"/>
  <c r="M461" i="1" s="1"/>
  <c r="L460" i="1"/>
  <c r="M460" i="1" s="1"/>
  <c r="L456" i="1"/>
  <c r="M456" i="1" s="1"/>
  <c r="L455" i="1"/>
  <c r="M455" i="1" s="1"/>
  <c r="L454" i="1"/>
  <c r="M454" i="1" s="1"/>
  <c r="L453" i="1"/>
  <c r="M453" i="1" s="1"/>
  <c r="L452" i="1"/>
  <c r="M452" i="1" s="1"/>
  <c r="L451" i="1"/>
  <c r="M451" i="1" s="1"/>
  <c r="L450" i="1"/>
  <c r="M450" i="1" s="1"/>
  <c r="L449" i="1"/>
  <c r="M449" i="1" s="1"/>
  <c r="L448" i="1"/>
  <c r="M448" i="1" s="1"/>
  <c r="L447" i="1"/>
  <c r="M447" i="1" s="1"/>
  <c r="L446" i="1"/>
  <c r="M446" i="1" s="1"/>
  <c r="L445" i="1"/>
  <c r="M445" i="1" s="1"/>
  <c r="L444" i="1"/>
  <c r="M444" i="1" s="1"/>
  <c r="L443" i="1"/>
  <c r="M443" i="1" s="1"/>
  <c r="L442" i="1"/>
  <c r="M442" i="1" s="1"/>
  <c r="L441" i="1"/>
  <c r="M441" i="1" s="1"/>
  <c r="L440" i="1"/>
  <c r="M440" i="1" s="1"/>
  <c r="L436" i="1"/>
  <c r="M436" i="1" s="1"/>
  <c r="L435" i="1"/>
  <c r="M435" i="1" s="1"/>
  <c r="L434" i="1"/>
  <c r="M434" i="1" s="1"/>
  <c r="L433" i="1"/>
  <c r="M433" i="1" s="1"/>
  <c r="L432" i="1"/>
  <c r="M432" i="1" s="1"/>
  <c r="L431" i="1"/>
  <c r="M431" i="1" s="1"/>
  <c r="L430" i="1"/>
  <c r="M430" i="1" s="1"/>
  <c r="L429" i="1"/>
  <c r="M429" i="1" s="1"/>
  <c r="L428" i="1"/>
  <c r="M428" i="1" s="1"/>
  <c r="L427" i="1"/>
  <c r="M427" i="1" s="1"/>
  <c r="L426" i="1"/>
  <c r="M426" i="1" s="1"/>
  <c r="L425" i="1"/>
  <c r="M425" i="1" s="1"/>
  <c r="L424" i="1"/>
  <c r="M424" i="1" s="1"/>
  <c r="L423" i="1"/>
  <c r="M423" i="1" s="1"/>
  <c r="L422" i="1"/>
  <c r="M422" i="1" s="1"/>
  <c r="L421" i="1"/>
  <c r="M421" i="1" s="1"/>
  <c r="L420" i="1"/>
  <c r="M420" i="1" s="1"/>
  <c r="L419" i="1"/>
  <c r="M419" i="1" s="1"/>
  <c r="L418" i="1"/>
  <c r="M418" i="1" s="1"/>
  <c r="L417" i="1"/>
  <c r="M417" i="1" s="1"/>
  <c r="L416" i="1"/>
  <c r="M416" i="1" s="1"/>
  <c r="L415" i="1"/>
  <c r="M415" i="1" s="1"/>
  <c r="L414" i="1"/>
  <c r="M414" i="1" s="1"/>
  <c r="L410" i="1"/>
  <c r="M410" i="1" s="1"/>
  <c r="L409" i="1"/>
  <c r="M409" i="1" s="1"/>
  <c r="L408" i="1"/>
  <c r="M408" i="1" s="1"/>
  <c r="L407" i="1"/>
  <c r="M407" i="1" s="1"/>
  <c r="L406" i="1"/>
  <c r="M406" i="1" s="1"/>
  <c r="L405" i="1"/>
  <c r="M405" i="1" s="1"/>
  <c r="L404" i="1"/>
  <c r="M404" i="1" s="1"/>
  <c r="L403" i="1"/>
  <c r="M403" i="1" s="1"/>
  <c r="L402" i="1"/>
  <c r="M402" i="1" s="1"/>
  <c r="L401" i="1"/>
  <c r="M401" i="1" s="1"/>
  <c r="L400" i="1"/>
  <c r="M400" i="1" s="1"/>
  <c r="L399" i="1"/>
  <c r="M399" i="1" s="1"/>
  <c r="L398" i="1"/>
  <c r="M398" i="1" s="1"/>
  <c r="L397" i="1"/>
  <c r="M397" i="1" s="1"/>
  <c r="L396" i="1"/>
  <c r="M396" i="1" s="1"/>
  <c r="L395" i="1"/>
  <c r="M395" i="1" s="1"/>
  <c r="L394" i="1"/>
  <c r="M394" i="1" s="1"/>
  <c r="L393" i="1"/>
  <c r="M393" i="1" s="1"/>
  <c r="L392" i="1"/>
  <c r="M392" i="1" s="1"/>
  <c r="L391" i="1"/>
  <c r="M391" i="1" s="1"/>
  <c r="L390" i="1"/>
  <c r="M390" i="1" s="1"/>
  <c r="L389" i="1"/>
  <c r="M389" i="1" s="1"/>
  <c r="L388" i="1"/>
  <c r="M388" i="1" s="1"/>
  <c r="L387" i="1"/>
  <c r="M387" i="1" s="1"/>
  <c r="L386" i="1"/>
  <c r="M386" i="1" s="1"/>
  <c r="L385" i="1"/>
  <c r="M385" i="1" s="1"/>
  <c r="L384" i="1"/>
  <c r="M384" i="1" s="1"/>
  <c r="L383" i="1"/>
  <c r="M383" i="1" s="1"/>
  <c r="L382" i="1"/>
  <c r="M382" i="1" s="1"/>
  <c r="L381" i="1"/>
  <c r="M381" i="1" s="1"/>
  <c r="L380" i="1"/>
  <c r="M380" i="1" s="1"/>
  <c r="L379" i="1"/>
  <c r="M379" i="1" s="1"/>
  <c r="L378" i="1"/>
  <c r="M378" i="1" s="1"/>
  <c r="L377" i="1"/>
  <c r="M377" i="1" s="1"/>
  <c r="L376" i="1"/>
  <c r="M376" i="1" s="1"/>
  <c r="L375" i="1"/>
  <c r="M375" i="1" s="1"/>
  <c r="L373" i="1"/>
  <c r="M373" i="1" s="1"/>
  <c r="L372" i="1"/>
  <c r="M372" i="1" s="1"/>
  <c r="L371" i="1"/>
  <c r="M371" i="1" s="1"/>
  <c r="L370" i="1"/>
  <c r="M370" i="1" s="1"/>
  <c r="L369" i="1"/>
  <c r="M369" i="1" s="1"/>
  <c r="L368" i="1"/>
  <c r="M368" i="1" s="1"/>
  <c r="L367" i="1"/>
  <c r="M367" i="1" s="1"/>
  <c r="L366" i="1"/>
  <c r="M366" i="1" s="1"/>
  <c r="L365" i="1"/>
  <c r="M365" i="1" s="1"/>
  <c r="L364" i="1"/>
  <c r="M364" i="1" s="1"/>
  <c r="L363" i="1"/>
  <c r="M363" i="1" s="1"/>
  <c r="L362" i="1"/>
  <c r="M362" i="1" s="1"/>
  <c r="L361" i="1"/>
  <c r="M361" i="1" s="1"/>
  <c r="L356" i="1"/>
  <c r="M356" i="1" s="1"/>
  <c r="L351" i="1"/>
  <c r="M351" i="1" s="1"/>
  <c r="M350" i="1"/>
  <c r="L350" i="1"/>
  <c r="L346" i="1"/>
  <c r="M346" i="1" s="1"/>
  <c r="L345" i="1"/>
  <c r="M345" i="1" s="1"/>
  <c r="L344" i="1"/>
  <c r="M344" i="1" s="1"/>
  <c r="L343" i="1"/>
  <c r="M343" i="1" s="1"/>
  <c r="L342" i="1"/>
  <c r="M342" i="1" s="1"/>
  <c r="L341" i="1"/>
  <c r="M341" i="1" s="1"/>
  <c r="L340" i="1"/>
  <c r="M340" i="1" s="1"/>
  <c r="L339" i="1"/>
  <c r="M339" i="1" s="1"/>
  <c r="L338" i="1"/>
  <c r="M338" i="1" s="1"/>
  <c r="L334" i="1"/>
  <c r="M334" i="1" s="1"/>
  <c r="L333" i="1"/>
  <c r="M333" i="1" s="1"/>
  <c r="L332" i="1"/>
  <c r="M332" i="1" s="1"/>
  <c r="L331" i="1"/>
  <c r="M331" i="1" s="1"/>
  <c r="L330" i="1"/>
  <c r="M330" i="1" s="1"/>
  <c r="L329" i="1"/>
  <c r="M329" i="1" s="1"/>
  <c r="L328" i="1"/>
  <c r="M328" i="1" s="1"/>
  <c r="L327" i="1"/>
  <c r="M327" i="1" s="1"/>
  <c r="L326" i="1"/>
  <c r="M326" i="1" s="1"/>
  <c r="L325" i="1"/>
  <c r="M325" i="1" s="1"/>
  <c r="L324" i="1"/>
  <c r="M324" i="1" s="1"/>
  <c r="L323" i="1"/>
  <c r="M323" i="1" s="1"/>
  <c r="L322" i="1"/>
  <c r="M322" i="1" s="1"/>
  <c r="L321" i="1"/>
  <c r="M321" i="1" s="1"/>
  <c r="L320" i="1"/>
  <c r="M320" i="1" s="1"/>
  <c r="L319" i="1"/>
  <c r="M319" i="1" s="1"/>
  <c r="L318" i="1"/>
  <c r="M318" i="1" s="1"/>
  <c r="L317" i="1"/>
  <c r="M317" i="1" s="1"/>
  <c r="L316" i="1"/>
  <c r="M316" i="1" s="1"/>
  <c r="L315" i="1"/>
  <c r="M315" i="1" s="1"/>
  <c r="L314" i="1"/>
  <c r="M314" i="1" s="1"/>
  <c r="L313" i="1"/>
  <c r="M313" i="1" s="1"/>
  <c r="L312" i="1"/>
  <c r="M312" i="1" s="1"/>
  <c r="L311" i="1"/>
  <c r="M311" i="1" s="1"/>
  <c r="L310" i="1"/>
  <c r="M310" i="1" s="1"/>
  <c r="L309" i="1"/>
  <c r="M309" i="1" s="1"/>
  <c r="L308" i="1"/>
  <c r="M308" i="1" s="1"/>
  <c r="L307" i="1"/>
  <c r="M307" i="1" s="1"/>
  <c r="L306" i="1"/>
  <c r="M306" i="1" s="1"/>
  <c r="L305" i="1"/>
  <c r="M305" i="1" s="1"/>
  <c r="L304" i="1"/>
  <c r="M304" i="1" s="1"/>
  <c r="L303" i="1"/>
  <c r="M303" i="1" s="1"/>
  <c r="L302" i="1"/>
  <c r="M302" i="1" s="1"/>
  <c r="L298" i="1"/>
  <c r="M298" i="1" s="1"/>
  <c r="L297" i="1"/>
  <c r="M297" i="1" s="1"/>
  <c r="L296" i="1"/>
  <c r="M296" i="1" s="1"/>
  <c r="L295" i="1"/>
  <c r="M295" i="1" s="1"/>
  <c r="L294" i="1"/>
  <c r="M294" i="1" s="1"/>
  <c r="L293" i="1"/>
  <c r="M293" i="1" s="1"/>
  <c r="L292" i="1"/>
  <c r="M292" i="1" s="1"/>
  <c r="L291" i="1"/>
  <c r="M291" i="1" s="1"/>
  <c r="L290" i="1"/>
  <c r="M290" i="1" s="1"/>
  <c r="L289" i="1"/>
  <c r="M289" i="1" s="1"/>
  <c r="L288" i="1"/>
  <c r="M288" i="1" s="1"/>
  <c r="L287" i="1"/>
  <c r="M287" i="1" s="1"/>
  <c r="L286" i="1"/>
  <c r="M286" i="1" s="1"/>
  <c r="L285" i="1"/>
  <c r="M285" i="1" s="1"/>
  <c r="L284" i="1"/>
  <c r="M284" i="1" s="1"/>
  <c r="L283" i="1"/>
  <c r="M283" i="1" s="1"/>
  <c r="L282" i="1"/>
  <c r="M282" i="1" s="1"/>
  <c r="L281" i="1"/>
  <c r="M281" i="1" s="1"/>
  <c r="L280" i="1"/>
  <c r="M280" i="1" s="1"/>
  <c r="L279" i="1"/>
  <c r="M279" i="1" s="1"/>
  <c r="L278" i="1"/>
  <c r="M278" i="1" s="1"/>
  <c r="L277" i="1"/>
  <c r="M277" i="1" s="1"/>
  <c r="L276" i="1"/>
  <c r="M276" i="1" s="1"/>
  <c r="L275" i="1"/>
  <c r="M275" i="1" s="1"/>
  <c r="L274" i="1"/>
  <c r="M274" i="1" s="1"/>
  <c r="L273" i="1"/>
  <c r="M273" i="1" s="1"/>
  <c r="L272" i="1"/>
  <c r="M272" i="1" s="1"/>
  <c r="L270" i="1"/>
  <c r="M270" i="1" s="1"/>
  <c r="L268" i="1"/>
  <c r="M268" i="1" s="1"/>
  <c r="L267" i="1"/>
  <c r="M267" i="1" s="1"/>
  <c r="L266" i="1"/>
  <c r="M266" i="1" s="1"/>
  <c r="L265" i="1"/>
  <c r="M265" i="1" s="1"/>
  <c r="L263" i="1"/>
  <c r="M263" i="1" s="1"/>
  <c r="L262" i="1"/>
  <c r="M262" i="1" s="1"/>
  <c r="L261" i="1"/>
  <c r="M261" i="1" s="1"/>
  <c r="L260" i="1"/>
  <c r="M260" i="1" s="1"/>
  <c r="L259" i="1"/>
  <c r="M259" i="1" s="1"/>
  <c r="L258" i="1"/>
  <c r="M258" i="1" s="1"/>
  <c r="L257" i="1"/>
  <c r="M257" i="1" s="1"/>
  <c r="L256" i="1"/>
  <c r="M256" i="1" s="1"/>
  <c r="L255" i="1"/>
  <c r="M255" i="1" s="1"/>
  <c r="L254" i="1"/>
  <c r="M254" i="1" s="1"/>
  <c r="L253" i="1"/>
  <c r="M253" i="1" s="1"/>
  <c r="L252" i="1"/>
  <c r="M252" i="1" s="1"/>
  <c r="L251" i="1"/>
  <c r="M251" i="1" s="1"/>
  <c r="L250" i="1"/>
  <c r="M250" i="1" s="1"/>
  <c r="L249" i="1"/>
  <c r="M249" i="1" s="1"/>
  <c r="L248" i="1"/>
  <c r="M248" i="1" s="1"/>
  <c r="L247" i="1"/>
  <c r="M247" i="1" s="1"/>
  <c r="L246" i="1"/>
  <c r="M246" i="1" s="1"/>
  <c r="L245" i="1"/>
  <c r="M245" i="1" s="1"/>
  <c r="L244" i="1"/>
  <c r="M244" i="1" s="1"/>
  <c r="L243" i="1"/>
  <c r="M243" i="1" s="1"/>
  <c r="L242" i="1"/>
  <c r="M242" i="1" s="1"/>
  <c r="L241" i="1"/>
  <c r="M241" i="1" s="1"/>
  <c r="L240" i="1"/>
  <c r="M240" i="1" s="1"/>
  <c r="L239" i="1"/>
  <c r="M239" i="1" s="1"/>
  <c r="L238" i="1"/>
  <c r="M238" i="1" s="1"/>
  <c r="L237" i="1"/>
  <c r="M237" i="1" s="1"/>
  <c r="L236" i="1"/>
  <c r="M236" i="1" s="1"/>
  <c r="L235" i="1"/>
  <c r="M235" i="1" s="1"/>
  <c r="L234" i="1"/>
  <c r="M234" i="1" s="1"/>
  <c r="L233" i="1"/>
  <c r="M233" i="1" s="1"/>
  <c r="L232" i="1"/>
  <c r="M232" i="1" s="1"/>
  <c r="L231" i="1"/>
  <c r="M231" i="1" s="1"/>
  <c r="L230" i="1"/>
  <c r="M230" i="1" s="1"/>
  <c r="L229" i="1"/>
  <c r="M229" i="1" s="1"/>
  <c r="L228" i="1"/>
  <c r="M228" i="1" s="1"/>
  <c r="L227" i="1"/>
  <c r="M227" i="1" s="1"/>
  <c r="L226" i="1"/>
  <c r="M226" i="1" s="1"/>
  <c r="L225" i="1"/>
  <c r="M225" i="1" s="1"/>
  <c r="L224" i="1"/>
  <c r="M224" i="1" s="1"/>
  <c r="L222" i="1"/>
  <c r="M222" i="1" s="1"/>
  <c r="L221" i="1"/>
  <c r="M221" i="1" s="1"/>
  <c r="B9" i="2" s="1"/>
  <c r="C9" i="2" s="1"/>
  <c r="L220" i="1"/>
  <c r="M220" i="1" s="1"/>
  <c r="L219" i="1"/>
  <c r="M219" i="1" s="1"/>
  <c r="L218" i="1"/>
  <c r="M218" i="1" s="1"/>
  <c r="L217" i="1"/>
  <c r="M217" i="1" s="1"/>
  <c r="L216" i="1"/>
  <c r="M216" i="1" s="1"/>
  <c r="L215" i="1"/>
  <c r="M215" i="1" s="1"/>
  <c r="L214" i="1"/>
  <c r="M214" i="1" s="1"/>
  <c r="L213" i="1"/>
  <c r="M213" i="1" s="1"/>
  <c r="L212" i="1"/>
  <c r="M212" i="1" s="1"/>
  <c r="L211" i="1"/>
  <c r="M211" i="1" s="1"/>
  <c r="L210" i="1"/>
  <c r="M210" i="1" s="1"/>
  <c r="L209" i="1"/>
  <c r="M209" i="1" s="1"/>
  <c r="L208" i="1"/>
  <c r="M208" i="1" s="1"/>
  <c r="L207" i="1"/>
  <c r="M207" i="1" s="1"/>
  <c r="L206" i="1"/>
  <c r="M206" i="1" s="1"/>
  <c r="L205" i="1"/>
  <c r="M205" i="1" s="1"/>
  <c r="L204" i="1"/>
  <c r="M204" i="1" s="1"/>
  <c r="L203" i="1"/>
  <c r="M203" i="1" s="1"/>
  <c r="L202" i="1"/>
  <c r="M202" i="1" s="1"/>
  <c r="L201" i="1"/>
  <c r="M201" i="1" s="1"/>
  <c r="L200" i="1"/>
  <c r="M200" i="1" s="1"/>
  <c r="L199" i="1"/>
  <c r="M199" i="1" s="1"/>
  <c r="L198" i="1"/>
  <c r="M198" i="1" s="1"/>
  <c r="L197" i="1"/>
  <c r="M197" i="1" s="1"/>
  <c r="L196" i="1"/>
  <c r="M196" i="1" s="1"/>
  <c r="L195" i="1"/>
  <c r="M195" i="1" s="1"/>
  <c r="L194" i="1"/>
  <c r="M194" i="1" s="1"/>
  <c r="L193" i="1"/>
  <c r="M193" i="1" s="1"/>
  <c r="L192" i="1"/>
  <c r="M192" i="1" s="1"/>
  <c r="L191" i="1"/>
  <c r="M191" i="1" s="1"/>
  <c r="L190" i="1"/>
  <c r="M190" i="1" s="1"/>
  <c r="L189" i="1"/>
  <c r="M189" i="1" s="1"/>
  <c r="L188" i="1"/>
  <c r="M188" i="1" s="1"/>
  <c r="L187" i="1"/>
  <c r="M187" i="1" s="1"/>
  <c r="L186" i="1"/>
  <c r="M186" i="1" s="1"/>
  <c r="L185" i="1"/>
  <c r="M185" i="1" s="1"/>
  <c r="L184" i="1"/>
  <c r="M184" i="1" s="1"/>
  <c r="L183" i="1"/>
  <c r="M183" i="1" s="1"/>
  <c r="L182" i="1"/>
  <c r="M182" i="1" s="1"/>
  <c r="L181" i="1"/>
  <c r="M181" i="1" s="1"/>
  <c r="L180" i="1"/>
  <c r="M180" i="1" s="1"/>
  <c r="L176" i="1"/>
  <c r="M176" i="1" s="1"/>
  <c r="L175" i="1"/>
  <c r="M175" i="1" s="1"/>
  <c r="L174" i="1"/>
  <c r="M174" i="1" s="1"/>
  <c r="L173" i="1"/>
  <c r="M173" i="1" s="1"/>
  <c r="L172" i="1"/>
  <c r="M172" i="1" s="1"/>
  <c r="L171" i="1"/>
  <c r="M171" i="1" s="1"/>
  <c r="L169" i="1"/>
  <c r="M169" i="1" s="1"/>
  <c r="L168" i="1"/>
  <c r="M168" i="1" s="1"/>
  <c r="L167" i="1"/>
  <c r="M167" i="1" s="1"/>
  <c r="L166" i="1"/>
  <c r="M166" i="1" s="1"/>
  <c r="L165" i="1"/>
  <c r="M165" i="1" s="1"/>
  <c r="L164" i="1"/>
  <c r="M164" i="1" s="1"/>
  <c r="L163" i="1"/>
  <c r="M163" i="1" s="1"/>
  <c r="L162" i="1"/>
  <c r="M162" i="1" s="1"/>
  <c r="L157" i="1"/>
  <c r="M157" i="1" s="1"/>
  <c r="L156" i="1"/>
  <c r="M156" i="1" s="1"/>
  <c r="L155" i="1"/>
  <c r="M155" i="1" s="1"/>
  <c r="L154" i="1"/>
  <c r="M154" i="1" s="1"/>
  <c r="L153" i="1"/>
  <c r="M153" i="1" s="1"/>
  <c r="L152" i="1"/>
  <c r="M152" i="1" s="1"/>
  <c r="L151" i="1"/>
  <c r="M151" i="1" s="1"/>
  <c r="L150" i="1"/>
  <c r="M150" i="1" s="1"/>
  <c r="L149" i="1"/>
  <c r="M149" i="1" s="1"/>
  <c r="L148" i="1"/>
  <c r="M148" i="1" s="1"/>
  <c r="L147" i="1"/>
  <c r="M147" i="1" s="1"/>
  <c r="L146" i="1"/>
  <c r="M146" i="1" s="1"/>
  <c r="L145" i="1"/>
  <c r="M145" i="1" s="1"/>
  <c r="L144" i="1"/>
  <c r="M144" i="1" s="1"/>
  <c r="L143" i="1"/>
  <c r="M143" i="1" s="1"/>
  <c r="L142" i="1"/>
  <c r="M142" i="1" s="1"/>
  <c r="L141" i="1"/>
  <c r="M141" i="1" s="1"/>
  <c r="L140" i="1"/>
  <c r="M140" i="1" s="1"/>
  <c r="L139" i="1"/>
  <c r="M139" i="1" s="1"/>
  <c r="L138" i="1"/>
  <c r="M138" i="1" s="1"/>
  <c r="L137" i="1"/>
  <c r="M137" i="1" s="1"/>
  <c r="L136" i="1"/>
  <c r="M136" i="1" s="1"/>
  <c r="L135" i="1"/>
  <c r="M135" i="1" s="1"/>
  <c r="L134" i="1"/>
  <c r="M134" i="1" s="1"/>
  <c r="L133" i="1"/>
  <c r="M133" i="1" s="1"/>
  <c r="L128" i="1"/>
  <c r="M128" i="1" s="1"/>
  <c r="L127" i="1"/>
  <c r="M127" i="1" s="1"/>
  <c r="L126" i="1"/>
  <c r="M126" i="1" s="1"/>
  <c r="L125" i="1"/>
  <c r="M125" i="1" s="1"/>
  <c r="L124" i="1"/>
  <c r="M124" i="1" s="1"/>
  <c r="L123" i="1"/>
  <c r="M123" i="1" s="1"/>
  <c r="L122" i="1"/>
  <c r="M122" i="1" s="1"/>
  <c r="L121" i="1"/>
  <c r="M121" i="1" s="1"/>
  <c r="L120" i="1"/>
  <c r="M120" i="1" s="1"/>
  <c r="L119" i="1"/>
  <c r="M119" i="1" s="1"/>
  <c r="L118" i="1"/>
  <c r="M118" i="1" s="1"/>
  <c r="L117" i="1"/>
  <c r="M117" i="1" s="1"/>
  <c r="L116" i="1"/>
  <c r="M116" i="1" s="1"/>
  <c r="L115" i="1"/>
  <c r="M115" i="1" s="1"/>
  <c r="L114" i="1"/>
  <c r="M114" i="1" s="1"/>
  <c r="L113" i="1"/>
  <c r="M113" i="1" s="1"/>
  <c r="L112" i="1"/>
  <c r="M112" i="1" s="1"/>
  <c r="L111" i="1"/>
  <c r="M111" i="1" s="1"/>
  <c r="L110" i="1"/>
  <c r="M110" i="1" s="1"/>
  <c r="L109" i="1"/>
  <c r="M109" i="1" s="1"/>
  <c r="L108" i="1"/>
  <c r="M108" i="1" s="1"/>
  <c r="L107" i="1"/>
  <c r="M107" i="1" s="1"/>
  <c r="L106" i="1"/>
  <c r="M106" i="1" s="1"/>
  <c r="L105" i="1"/>
  <c r="M105" i="1" s="1"/>
  <c r="L104" i="1"/>
  <c r="M104" i="1" s="1"/>
  <c r="L103" i="1"/>
  <c r="M103" i="1" s="1"/>
  <c r="L102" i="1"/>
  <c r="M102" i="1" s="1"/>
  <c r="L101" i="1"/>
  <c r="M101" i="1" s="1"/>
  <c r="L100" i="1"/>
  <c r="M100" i="1" s="1"/>
  <c r="L99" i="1"/>
  <c r="M99" i="1" s="1"/>
  <c r="L98" i="1"/>
  <c r="M98" i="1" s="1"/>
  <c r="L97" i="1"/>
  <c r="M97" i="1" s="1"/>
  <c r="L96" i="1"/>
  <c r="M96" i="1" s="1"/>
  <c r="L95" i="1"/>
  <c r="M95" i="1" s="1"/>
  <c r="L94" i="1"/>
  <c r="M94" i="1" s="1"/>
  <c r="L93" i="1"/>
  <c r="M93" i="1" s="1"/>
  <c r="L92" i="1"/>
  <c r="M92" i="1" s="1"/>
  <c r="L91" i="1"/>
  <c r="M91" i="1" s="1"/>
  <c r="L90" i="1"/>
  <c r="M90" i="1" s="1"/>
  <c r="L89" i="1"/>
  <c r="M89" i="1" s="1"/>
  <c r="L88" i="1"/>
  <c r="M88" i="1" s="1"/>
  <c r="L87" i="1"/>
  <c r="M87" i="1" s="1"/>
  <c r="L86" i="1"/>
  <c r="M86" i="1" s="1"/>
  <c r="L85" i="1"/>
  <c r="M85" i="1" s="1"/>
  <c r="L84" i="1"/>
  <c r="M84" i="1" s="1"/>
  <c r="L83" i="1"/>
  <c r="M83" i="1" s="1"/>
  <c r="L82" i="1"/>
  <c r="M82" i="1" s="1"/>
  <c r="L81" i="1"/>
  <c r="M81" i="1" s="1"/>
  <c r="L80" i="1"/>
  <c r="M80" i="1" s="1"/>
  <c r="L79" i="1"/>
  <c r="M79" i="1" s="1"/>
  <c r="L78" i="1"/>
  <c r="M78" i="1" s="1"/>
  <c r="L77" i="1"/>
  <c r="M77" i="1" s="1"/>
  <c r="L76" i="1"/>
  <c r="M76" i="1" s="1"/>
  <c r="L75" i="1"/>
  <c r="M75" i="1" s="1"/>
  <c r="L74" i="1"/>
  <c r="M74" i="1" s="1"/>
  <c r="L73" i="1"/>
  <c r="M73" i="1" s="1"/>
  <c r="L72" i="1"/>
  <c r="M72" i="1" s="1"/>
  <c r="L71" i="1"/>
  <c r="M71" i="1" s="1"/>
  <c r="L70" i="1"/>
  <c r="M70" i="1" s="1"/>
  <c r="L69" i="1"/>
  <c r="M69" i="1" s="1"/>
  <c r="L68" i="1"/>
  <c r="M68" i="1" s="1"/>
  <c r="L67" i="1"/>
  <c r="M67" i="1" s="1"/>
  <c r="L66" i="1"/>
  <c r="M66" i="1" s="1"/>
  <c r="L65" i="1"/>
  <c r="M65" i="1" s="1"/>
  <c r="L64" i="1"/>
  <c r="M64" i="1" s="1"/>
  <c r="L63" i="1"/>
  <c r="M63" i="1" s="1"/>
  <c r="L62" i="1"/>
  <c r="M62" i="1" s="1"/>
  <c r="L61" i="1"/>
  <c r="M61" i="1" s="1"/>
  <c r="L60" i="1"/>
  <c r="M60" i="1" s="1"/>
  <c r="L59" i="1"/>
  <c r="M59" i="1" s="1"/>
  <c r="L58" i="1"/>
  <c r="M58" i="1" s="1"/>
  <c r="L57" i="1"/>
  <c r="M57" i="1" s="1"/>
  <c r="L56" i="1"/>
  <c r="M56" i="1" s="1"/>
  <c r="L55" i="1"/>
  <c r="M55" i="1" s="1"/>
  <c r="L54" i="1"/>
  <c r="M54" i="1" s="1"/>
  <c r="L53" i="1"/>
  <c r="M53" i="1" s="1"/>
  <c r="L52" i="1"/>
  <c r="M52" i="1" s="1"/>
  <c r="L51" i="1"/>
  <c r="M51" i="1" s="1"/>
  <c r="L50" i="1"/>
  <c r="M50" i="1" s="1"/>
  <c r="L49" i="1"/>
  <c r="M49" i="1" s="1"/>
  <c r="L48" i="1"/>
  <c r="M48" i="1" s="1"/>
  <c r="L47" i="1"/>
  <c r="M47" i="1" s="1"/>
  <c r="L46" i="1"/>
  <c r="M46" i="1" s="1"/>
  <c r="L45" i="1"/>
  <c r="M45" i="1" s="1"/>
  <c r="L44" i="1"/>
  <c r="M44" i="1" s="1"/>
  <c r="L43" i="1"/>
  <c r="M43" i="1" s="1"/>
  <c r="L42" i="1"/>
  <c r="M42" i="1" s="1"/>
  <c r="L41" i="1"/>
  <c r="M41" i="1" s="1"/>
  <c r="L40" i="1"/>
  <c r="M40" i="1" s="1"/>
  <c r="L39" i="1"/>
  <c r="M39" i="1" s="1"/>
  <c r="L38" i="1"/>
  <c r="M38" i="1" s="1"/>
  <c r="L37" i="1"/>
  <c r="M37" i="1" s="1"/>
  <c r="L36" i="1"/>
  <c r="M36" i="1" s="1"/>
  <c r="L35" i="1"/>
  <c r="M35" i="1" s="1"/>
  <c r="L34" i="1"/>
  <c r="M34" i="1" s="1"/>
  <c r="L33" i="1"/>
  <c r="M33" i="1" s="1"/>
  <c r="L32" i="1"/>
  <c r="M32" i="1" s="1"/>
  <c r="L31" i="1"/>
  <c r="M31" i="1" s="1"/>
  <c r="L30" i="1"/>
  <c r="M30" i="1" s="1"/>
  <c r="L29" i="1"/>
  <c r="M29" i="1" s="1"/>
  <c r="L28" i="1"/>
  <c r="M28" i="1" s="1"/>
  <c r="L27" i="1"/>
  <c r="M27" i="1" s="1"/>
  <c r="L26" i="1"/>
  <c r="M26" i="1" s="1"/>
  <c r="L7" i="1"/>
  <c r="M7" i="1" s="1"/>
  <c r="L8" i="1"/>
  <c r="M8" i="1"/>
  <c r="L9" i="1"/>
  <c r="M9" i="1" s="1"/>
  <c r="L10" i="1"/>
  <c r="M10" i="1"/>
  <c r="L11" i="1"/>
  <c r="M11" i="1" s="1"/>
  <c r="L12" i="1"/>
  <c r="M12" i="1"/>
  <c r="L13" i="1"/>
  <c r="M13" i="1" s="1"/>
  <c r="L14" i="1"/>
  <c r="M14" i="1"/>
  <c r="L15" i="1"/>
  <c r="M15" i="1" s="1"/>
  <c r="L16" i="1"/>
  <c r="M16" i="1"/>
  <c r="L17" i="1"/>
  <c r="M17" i="1" s="1"/>
  <c r="L18" i="1"/>
  <c r="M18" i="1"/>
  <c r="L19" i="1"/>
  <c r="M19" i="1" s="1"/>
  <c r="L20" i="1"/>
  <c r="M20" i="1"/>
  <c r="L21" i="1"/>
  <c r="M21" i="1" s="1"/>
  <c r="M6" i="1"/>
  <c r="L6" i="1"/>
  <c r="J26" i="1"/>
  <c r="K26" i="1"/>
  <c r="N26" i="1"/>
  <c r="O26" i="1"/>
  <c r="J27" i="1"/>
  <c r="K27" i="1"/>
  <c r="N27" i="1"/>
  <c r="O27" i="1"/>
  <c r="J28" i="1"/>
  <c r="K28" i="1"/>
  <c r="N28" i="1"/>
  <c r="O28" i="1"/>
  <c r="J29" i="1"/>
  <c r="K29" i="1"/>
  <c r="N29" i="1"/>
  <c r="O29" i="1"/>
  <c r="J30" i="1"/>
  <c r="K30" i="1"/>
  <c r="N30" i="1"/>
  <c r="O30" i="1"/>
  <c r="J31" i="1"/>
  <c r="K31" i="1"/>
  <c r="N31" i="1"/>
  <c r="O31" i="1"/>
  <c r="J32" i="1"/>
  <c r="K32" i="1"/>
  <c r="N32" i="1"/>
  <c r="O32" i="1"/>
  <c r="J33" i="1"/>
  <c r="K33" i="1"/>
  <c r="N33" i="1"/>
  <c r="O33" i="1"/>
  <c r="J34" i="1"/>
  <c r="K34" i="1"/>
  <c r="N34" i="1"/>
  <c r="O34" i="1"/>
  <c r="J35" i="1"/>
  <c r="K35" i="1"/>
  <c r="N35" i="1"/>
  <c r="O35" i="1"/>
  <c r="J36" i="1"/>
  <c r="K36" i="1"/>
  <c r="N36" i="1"/>
  <c r="O36" i="1"/>
  <c r="J37" i="1"/>
  <c r="K37" i="1"/>
  <c r="N37" i="1"/>
  <c r="O37" i="1"/>
  <c r="J38" i="1"/>
  <c r="K38" i="1"/>
  <c r="N38" i="1"/>
  <c r="O38" i="1"/>
  <c r="J39" i="1"/>
  <c r="K39" i="1"/>
  <c r="N39" i="1"/>
  <c r="O39" i="1"/>
  <c r="J40" i="1"/>
  <c r="K40" i="1"/>
  <c r="N40" i="1"/>
  <c r="O40" i="1"/>
  <c r="J41" i="1"/>
  <c r="K41" i="1"/>
  <c r="N41" i="1"/>
  <c r="O41" i="1"/>
  <c r="J42" i="1"/>
  <c r="K42" i="1"/>
  <c r="N42" i="1"/>
  <c r="O42" i="1"/>
  <c r="J43" i="1"/>
  <c r="K43" i="1"/>
  <c r="N43" i="1"/>
  <c r="O43" i="1"/>
  <c r="J44" i="1"/>
  <c r="K44" i="1"/>
  <c r="N44" i="1"/>
  <c r="O44" i="1"/>
  <c r="J45" i="1"/>
  <c r="K45" i="1"/>
  <c r="N45" i="1"/>
  <c r="O45" i="1"/>
  <c r="J46" i="1"/>
  <c r="K46" i="1"/>
  <c r="N46" i="1"/>
  <c r="O46" i="1"/>
  <c r="J47" i="1"/>
  <c r="K47" i="1"/>
  <c r="N47" i="1"/>
  <c r="O47" i="1"/>
  <c r="J48" i="1"/>
  <c r="K48" i="1"/>
  <c r="N48" i="1"/>
  <c r="O48" i="1"/>
  <c r="J49" i="1"/>
  <c r="K49" i="1"/>
  <c r="N49" i="1"/>
  <c r="O49" i="1"/>
  <c r="J50" i="1"/>
  <c r="K50" i="1"/>
  <c r="N50" i="1"/>
  <c r="O50" i="1"/>
  <c r="J51" i="1"/>
  <c r="K51" i="1"/>
  <c r="N51" i="1"/>
  <c r="O51" i="1"/>
  <c r="J52" i="1"/>
  <c r="K52" i="1"/>
  <c r="N52" i="1"/>
  <c r="O52" i="1"/>
  <c r="J53" i="1"/>
  <c r="K53" i="1"/>
  <c r="N53" i="1"/>
  <c r="O53" i="1"/>
  <c r="J54" i="1"/>
  <c r="K54" i="1"/>
  <c r="N54" i="1"/>
  <c r="O54" i="1"/>
  <c r="J55" i="1"/>
  <c r="K55" i="1"/>
  <c r="N55" i="1"/>
  <c r="O55" i="1"/>
  <c r="J56" i="1"/>
  <c r="K56" i="1"/>
  <c r="N56" i="1"/>
  <c r="O56" i="1"/>
  <c r="J57" i="1"/>
  <c r="K57" i="1"/>
  <c r="N57" i="1"/>
  <c r="O57" i="1"/>
  <c r="J58" i="1"/>
  <c r="K58" i="1"/>
  <c r="N58" i="1"/>
  <c r="O58" i="1"/>
  <c r="J59" i="1"/>
  <c r="K59" i="1"/>
  <c r="N59" i="1"/>
  <c r="O59" i="1"/>
  <c r="J60" i="1"/>
  <c r="K60" i="1"/>
  <c r="N60" i="1"/>
  <c r="O60" i="1"/>
  <c r="J61" i="1"/>
  <c r="K61" i="1"/>
  <c r="N61" i="1"/>
  <c r="O61" i="1"/>
  <c r="J62" i="1"/>
  <c r="K62" i="1"/>
  <c r="N62" i="1"/>
  <c r="O62" i="1"/>
  <c r="J63" i="1"/>
  <c r="K63" i="1"/>
  <c r="N63" i="1"/>
  <c r="O63" i="1"/>
  <c r="J64" i="1"/>
  <c r="K64" i="1"/>
  <c r="N64" i="1"/>
  <c r="O64" i="1"/>
  <c r="J65" i="1"/>
  <c r="K65" i="1"/>
  <c r="N65" i="1"/>
  <c r="O65" i="1"/>
  <c r="J66" i="1"/>
  <c r="K66" i="1"/>
  <c r="N66" i="1"/>
  <c r="O66" i="1"/>
  <c r="J67" i="1"/>
  <c r="K67" i="1"/>
  <c r="N67" i="1"/>
  <c r="O67" i="1"/>
  <c r="J68" i="1"/>
  <c r="K68" i="1"/>
  <c r="N68" i="1"/>
  <c r="O68" i="1"/>
  <c r="J69" i="1"/>
  <c r="K69" i="1"/>
  <c r="N69" i="1"/>
  <c r="O69" i="1"/>
  <c r="J70" i="1"/>
  <c r="K70" i="1"/>
  <c r="N70" i="1"/>
  <c r="O70" i="1"/>
  <c r="J71" i="1"/>
  <c r="K71" i="1"/>
  <c r="N71" i="1"/>
  <c r="O71" i="1"/>
  <c r="J72" i="1"/>
  <c r="K72" i="1"/>
  <c r="N72" i="1"/>
  <c r="O72" i="1"/>
  <c r="J73" i="1"/>
  <c r="K73" i="1"/>
  <c r="N73" i="1"/>
  <c r="O73" i="1"/>
  <c r="J74" i="1"/>
  <c r="K74" i="1"/>
  <c r="N74" i="1"/>
  <c r="O74" i="1"/>
  <c r="J75" i="1"/>
  <c r="K75" i="1"/>
  <c r="N75" i="1"/>
  <c r="O75" i="1"/>
  <c r="J76" i="1"/>
  <c r="K76" i="1"/>
  <c r="N76" i="1"/>
  <c r="O76" i="1"/>
  <c r="J77" i="1"/>
  <c r="K77" i="1"/>
  <c r="N77" i="1"/>
  <c r="O77" i="1"/>
  <c r="J78" i="1"/>
  <c r="K78" i="1"/>
  <c r="N78" i="1"/>
  <c r="O78" i="1"/>
  <c r="J79" i="1"/>
  <c r="K79" i="1"/>
  <c r="N79" i="1"/>
  <c r="O79" i="1"/>
  <c r="J80" i="1"/>
  <c r="K80" i="1"/>
  <c r="N80" i="1"/>
  <c r="O80" i="1"/>
  <c r="J81" i="1"/>
  <c r="K81" i="1"/>
  <c r="N81" i="1"/>
  <c r="O81" i="1"/>
  <c r="J82" i="1"/>
  <c r="K82" i="1"/>
  <c r="N82" i="1"/>
  <c r="O82" i="1"/>
  <c r="J83" i="1"/>
  <c r="K83" i="1"/>
  <c r="N83" i="1"/>
  <c r="O83" i="1"/>
  <c r="J84" i="1"/>
  <c r="K84" i="1"/>
  <c r="N84" i="1"/>
  <c r="O84" i="1"/>
  <c r="J85" i="1"/>
  <c r="K85" i="1"/>
  <c r="N85" i="1"/>
  <c r="O85" i="1"/>
  <c r="J86" i="1"/>
  <c r="K86" i="1"/>
  <c r="N86" i="1"/>
  <c r="O86" i="1"/>
  <c r="J87" i="1"/>
  <c r="K87" i="1"/>
  <c r="N87" i="1"/>
  <c r="O87" i="1"/>
  <c r="J88" i="1"/>
  <c r="K88" i="1"/>
  <c r="N88" i="1"/>
  <c r="O88" i="1"/>
  <c r="J89" i="1"/>
  <c r="K89" i="1"/>
  <c r="N89" i="1"/>
  <c r="O89" i="1"/>
  <c r="J90" i="1"/>
  <c r="K90" i="1"/>
  <c r="N90" i="1"/>
  <c r="O90" i="1"/>
  <c r="J91" i="1"/>
  <c r="K91" i="1"/>
  <c r="N91" i="1"/>
  <c r="O91" i="1"/>
  <c r="J92" i="1"/>
  <c r="K92" i="1"/>
  <c r="N92" i="1"/>
  <c r="O92" i="1"/>
  <c r="J93" i="1"/>
  <c r="K93" i="1"/>
  <c r="N93" i="1"/>
  <c r="O93" i="1"/>
  <c r="J94" i="1"/>
  <c r="K94" i="1"/>
  <c r="N94" i="1"/>
  <c r="O94" i="1"/>
  <c r="J95" i="1"/>
  <c r="K95" i="1"/>
  <c r="N95" i="1"/>
  <c r="O95" i="1"/>
  <c r="J96" i="1"/>
  <c r="K96" i="1"/>
  <c r="N96" i="1"/>
  <c r="O96" i="1"/>
  <c r="J97" i="1"/>
  <c r="K97" i="1"/>
  <c r="N97" i="1"/>
  <c r="O97" i="1"/>
  <c r="J98" i="1"/>
  <c r="K98" i="1"/>
  <c r="N98" i="1"/>
  <c r="O98" i="1"/>
  <c r="J99" i="1"/>
  <c r="K99" i="1"/>
  <c r="N99" i="1"/>
  <c r="O99" i="1"/>
  <c r="J100" i="1"/>
  <c r="K100" i="1"/>
  <c r="N100" i="1"/>
  <c r="O100" i="1"/>
  <c r="J101" i="1"/>
  <c r="K101" i="1"/>
  <c r="N101" i="1"/>
  <c r="O101" i="1"/>
  <c r="J102" i="1"/>
  <c r="K102" i="1"/>
  <c r="N102" i="1"/>
  <c r="O102" i="1"/>
  <c r="J103" i="1"/>
  <c r="K103" i="1"/>
  <c r="N103" i="1"/>
  <c r="O103" i="1"/>
  <c r="J104" i="1"/>
  <c r="K104" i="1"/>
  <c r="N104" i="1"/>
  <c r="O104" i="1"/>
  <c r="J105" i="1"/>
  <c r="K105" i="1"/>
  <c r="N105" i="1"/>
  <c r="O105" i="1"/>
  <c r="J106" i="1"/>
  <c r="K106" i="1"/>
  <c r="N106" i="1"/>
  <c r="O106" i="1"/>
  <c r="J107" i="1"/>
  <c r="K107" i="1"/>
  <c r="N107" i="1"/>
  <c r="O107" i="1"/>
  <c r="J108" i="1"/>
  <c r="K108" i="1"/>
  <c r="N108" i="1"/>
  <c r="O108" i="1"/>
  <c r="J109" i="1"/>
  <c r="K109" i="1"/>
  <c r="N109" i="1"/>
  <c r="O109" i="1"/>
  <c r="J110" i="1"/>
  <c r="K110" i="1"/>
  <c r="N110" i="1"/>
  <c r="O110" i="1"/>
  <c r="J111" i="1"/>
  <c r="K111" i="1"/>
  <c r="N111" i="1"/>
  <c r="O111" i="1"/>
  <c r="J112" i="1"/>
  <c r="K112" i="1"/>
  <c r="N112" i="1"/>
  <c r="O112" i="1"/>
  <c r="J113" i="1"/>
  <c r="K113" i="1"/>
  <c r="N113" i="1"/>
  <c r="O113" i="1"/>
  <c r="J114" i="1"/>
  <c r="K114" i="1"/>
  <c r="N114" i="1"/>
  <c r="O114" i="1"/>
  <c r="J115" i="1"/>
  <c r="K115" i="1"/>
  <c r="N115" i="1"/>
  <c r="O115" i="1"/>
  <c r="J116" i="1"/>
  <c r="K116" i="1"/>
  <c r="N116" i="1"/>
  <c r="O116" i="1"/>
  <c r="J117" i="1"/>
  <c r="K117" i="1"/>
  <c r="N117" i="1"/>
  <c r="O117" i="1"/>
  <c r="J118" i="1"/>
  <c r="K118" i="1"/>
  <c r="N118" i="1"/>
  <c r="O118" i="1"/>
  <c r="J119" i="1"/>
  <c r="K119" i="1"/>
  <c r="N119" i="1"/>
  <c r="O119" i="1"/>
  <c r="J120" i="1"/>
  <c r="K120" i="1"/>
  <c r="N120" i="1"/>
  <c r="O120" i="1"/>
  <c r="J121" i="1"/>
  <c r="K121" i="1"/>
  <c r="N121" i="1"/>
  <c r="O121" i="1"/>
  <c r="J122" i="1"/>
  <c r="K122" i="1"/>
  <c r="N122" i="1"/>
  <c r="O122" i="1"/>
  <c r="J123" i="1"/>
  <c r="K123" i="1"/>
  <c r="N123" i="1"/>
  <c r="O123" i="1"/>
  <c r="J124" i="1"/>
  <c r="K124" i="1"/>
  <c r="N124" i="1"/>
  <c r="O124" i="1"/>
  <c r="J125" i="1"/>
  <c r="K125" i="1"/>
  <c r="N125" i="1"/>
  <c r="O125" i="1"/>
  <c r="J126" i="1"/>
  <c r="K126" i="1"/>
  <c r="N126" i="1"/>
  <c r="O126" i="1"/>
  <c r="J127" i="1"/>
  <c r="K127" i="1"/>
  <c r="N127" i="1"/>
  <c r="O127" i="1"/>
  <c r="J128" i="1"/>
  <c r="K128" i="1"/>
  <c r="N128" i="1"/>
  <c r="O128" i="1"/>
  <c r="J133" i="1"/>
  <c r="K133" i="1"/>
  <c r="N133" i="1"/>
  <c r="O133" i="1"/>
  <c r="J134" i="1"/>
  <c r="K134" i="1"/>
  <c r="N134" i="1"/>
  <c r="O134" i="1"/>
  <c r="J135" i="1"/>
  <c r="K135" i="1"/>
  <c r="N135" i="1"/>
  <c r="O135" i="1"/>
  <c r="J136" i="1"/>
  <c r="K136" i="1"/>
  <c r="N136" i="1"/>
  <c r="O136" i="1"/>
  <c r="J137" i="1"/>
  <c r="K137" i="1"/>
  <c r="N137" i="1"/>
  <c r="O137" i="1"/>
  <c r="J138" i="1"/>
  <c r="K138" i="1"/>
  <c r="N138" i="1"/>
  <c r="O138" i="1"/>
  <c r="J139" i="1"/>
  <c r="K139" i="1"/>
  <c r="N139" i="1"/>
  <c r="O139" i="1"/>
  <c r="J140" i="1"/>
  <c r="K140" i="1"/>
  <c r="N140" i="1"/>
  <c r="O140" i="1"/>
  <c r="J141" i="1"/>
  <c r="K141" i="1"/>
  <c r="N141" i="1"/>
  <c r="O141" i="1"/>
  <c r="J142" i="1"/>
  <c r="K142" i="1"/>
  <c r="N142" i="1"/>
  <c r="O142" i="1"/>
  <c r="J143" i="1"/>
  <c r="K143" i="1"/>
  <c r="N143" i="1"/>
  <c r="O143" i="1"/>
  <c r="J144" i="1"/>
  <c r="K144" i="1"/>
  <c r="N144" i="1"/>
  <c r="O144" i="1"/>
  <c r="J145" i="1"/>
  <c r="K145" i="1"/>
  <c r="N145" i="1"/>
  <c r="O145" i="1"/>
  <c r="J146" i="1"/>
  <c r="K146" i="1"/>
  <c r="N146" i="1"/>
  <c r="O146" i="1"/>
  <c r="J147" i="1"/>
  <c r="K147" i="1"/>
  <c r="N147" i="1"/>
  <c r="O147" i="1"/>
  <c r="J148" i="1"/>
  <c r="K148" i="1"/>
  <c r="N148" i="1"/>
  <c r="O148" i="1"/>
  <c r="J149" i="1"/>
  <c r="K149" i="1"/>
  <c r="N149" i="1"/>
  <c r="O149" i="1"/>
  <c r="J150" i="1"/>
  <c r="K150" i="1"/>
  <c r="N150" i="1"/>
  <c r="O150" i="1"/>
  <c r="J151" i="1"/>
  <c r="K151" i="1"/>
  <c r="N151" i="1"/>
  <c r="O151" i="1"/>
  <c r="J152" i="1"/>
  <c r="K152" i="1"/>
  <c r="N152" i="1"/>
  <c r="O152" i="1"/>
  <c r="J153" i="1"/>
  <c r="K153" i="1"/>
  <c r="N153" i="1"/>
  <c r="O153" i="1"/>
  <c r="J154" i="1"/>
  <c r="K154" i="1"/>
  <c r="N154" i="1"/>
  <c r="O154" i="1"/>
  <c r="J155" i="1"/>
  <c r="K155" i="1"/>
  <c r="N155" i="1"/>
  <c r="O155" i="1"/>
  <c r="J156" i="1"/>
  <c r="K156" i="1"/>
  <c r="N156" i="1"/>
  <c r="O156" i="1"/>
  <c r="J157" i="1"/>
  <c r="K157" i="1"/>
  <c r="N157" i="1"/>
  <c r="O157" i="1"/>
  <c r="J162" i="1"/>
  <c r="K162" i="1"/>
  <c r="N162" i="1"/>
  <c r="O162" i="1"/>
  <c r="J163" i="1"/>
  <c r="K163" i="1"/>
  <c r="N163" i="1"/>
  <c r="O163" i="1"/>
  <c r="J164" i="1"/>
  <c r="K164" i="1"/>
  <c r="N164" i="1"/>
  <c r="O164" i="1"/>
  <c r="J165" i="1"/>
  <c r="K165" i="1"/>
  <c r="N165" i="1"/>
  <c r="O165" i="1"/>
  <c r="J166" i="1"/>
  <c r="K166" i="1"/>
  <c r="N166" i="1"/>
  <c r="O166" i="1"/>
  <c r="J167" i="1"/>
  <c r="K167" i="1"/>
  <c r="N167" i="1"/>
  <c r="O167" i="1"/>
  <c r="J168" i="1"/>
  <c r="K168" i="1"/>
  <c r="N168" i="1"/>
  <c r="O168" i="1"/>
  <c r="J169" i="1"/>
  <c r="K169" i="1"/>
  <c r="N169" i="1"/>
  <c r="O169" i="1"/>
  <c r="J170" i="1"/>
  <c r="K170" i="1"/>
  <c r="L170" i="1" s="1"/>
  <c r="M170" i="1" s="1"/>
  <c r="B7" i="2" s="1"/>
  <c r="C7" i="2" s="1"/>
  <c r="N170" i="1"/>
  <c r="O170" i="1"/>
  <c r="J171" i="1"/>
  <c r="K171" i="1"/>
  <c r="N171" i="1"/>
  <c r="O171" i="1"/>
  <c r="J172" i="1"/>
  <c r="K172" i="1"/>
  <c r="N172" i="1"/>
  <c r="O172" i="1"/>
  <c r="J173" i="1"/>
  <c r="K173" i="1"/>
  <c r="N173" i="1"/>
  <c r="O173" i="1"/>
  <c r="J174" i="1"/>
  <c r="K174" i="1"/>
  <c r="N174" i="1"/>
  <c r="O174" i="1"/>
  <c r="J175" i="1"/>
  <c r="K175" i="1"/>
  <c r="N175" i="1"/>
  <c r="O175" i="1"/>
  <c r="J176" i="1"/>
  <c r="K176" i="1"/>
  <c r="N176" i="1"/>
  <c r="O176" i="1"/>
  <c r="J180" i="1"/>
  <c r="K180" i="1"/>
  <c r="N180" i="1"/>
  <c r="O180" i="1"/>
  <c r="J181" i="1"/>
  <c r="K181" i="1"/>
  <c r="N181" i="1"/>
  <c r="O181" i="1"/>
  <c r="J182" i="1"/>
  <c r="K182" i="1"/>
  <c r="N182" i="1"/>
  <c r="O182" i="1"/>
  <c r="J183" i="1"/>
  <c r="K183" i="1"/>
  <c r="N183" i="1"/>
  <c r="O183" i="1"/>
  <c r="J184" i="1"/>
  <c r="K184" i="1"/>
  <c r="N184" i="1"/>
  <c r="O184" i="1"/>
  <c r="J185" i="1"/>
  <c r="K185" i="1"/>
  <c r="N185" i="1"/>
  <c r="O185" i="1"/>
  <c r="J186" i="1"/>
  <c r="K186" i="1"/>
  <c r="N186" i="1"/>
  <c r="O186" i="1"/>
  <c r="J187" i="1"/>
  <c r="K187" i="1"/>
  <c r="N187" i="1"/>
  <c r="O187" i="1"/>
  <c r="J188" i="1"/>
  <c r="K188" i="1"/>
  <c r="N188" i="1"/>
  <c r="O188" i="1"/>
  <c r="J189" i="1"/>
  <c r="K189" i="1"/>
  <c r="N189" i="1"/>
  <c r="O189" i="1"/>
  <c r="J190" i="1"/>
  <c r="K190" i="1"/>
  <c r="N190" i="1"/>
  <c r="O190" i="1"/>
  <c r="J191" i="1"/>
  <c r="K191" i="1"/>
  <c r="N191" i="1"/>
  <c r="O191" i="1"/>
  <c r="J192" i="1"/>
  <c r="K192" i="1"/>
  <c r="N192" i="1"/>
  <c r="O192" i="1"/>
  <c r="J193" i="1"/>
  <c r="K193" i="1"/>
  <c r="N193" i="1"/>
  <c r="O193" i="1"/>
  <c r="J194" i="1"/>
  <c r="K194" i="1"/>
  <c r="N194" i="1"/>
  <c r="O194" i="1"/>
  <c r="J195" i="1"/>
  <c r="K195" i="1"/>
  <c r="N195" i="1"/>
  <c r="O195" i="1"/>
  <c r="J196" i="1"/>
  <c r="K196" i="1"/>
  <c r="N196" i="1"/>
  <c r="O196" i="1"/>
  <c r="J197" i="1"/>
  <c r="K197" i="1"/>
  <c r="N197" i="1"/>
  <c r="O197" i="1"/>
  <c r="J198" i="1"/>
  <c r="K198" i="1"/>
  <c r="N198" i="1"/>
  <c r="O198" i="1"/>
  <c r="J199" i="1"/>
  <c r="K199" i="1"/>
  <c r="N199" i="1"/>
  <c r="O199" i="1"/>
  <c r="J200" i="1"/>
  <c r="K200" i="1"/>
  <c r="N200" i="1"/>
  <c r="O200" i="1"/>
  <c r="J201" i="1"/>
  <c r="K201" i="1"/>
  <c r="N201" i="1"/>
  <c r="O201" i="1"/>
  <c r="J202" i="1"/>
  <c r="K202" i="1"/>
  <c r="N202" i="1"/>
  <c r="O202" i="1"/>
  <c r="J203" i="1"/>
  <c r="K203" i="1"/>
  <c r="N203" i="1"/>
  <c r="O203" i="1"/>
  <c r="J204" i="1"/>
  <c r="K204" i="1"/>
  <c r="N204" i="1"/>
  <c r="O204" i="1"/>
  <c r="J205" i="1"/>
  <c r="K205" i="1"/>
  <c r="N205" i="1"/>
  <c r="O205" i="1"/>
  <c r="J206" i="1"/>
  <c r="K206" i="1"/>
  <c r="N206" i="1"/>
  <c r="O206" i="1"/>
  <c r="J207" i="1"/>
  <c r="K207" i="1"/>
  <c r="N207" i="1"/>
  <c r="O207" i="1"/>
  <c r="J208" i="1"/>
  <c r="K208" i="1"/>
  <c r="N208" i="1"/>
  <c r="O208" i="1"/>
  <c r="J209" i="1"/>
  <c r="K209" i="1"/>
  <c r="N209" i="1"/>
  <c r="O209" i="1"/>
  <c r="J210" i="1"/>
  <c r="K210" i="1"/>
  <c r="N210" i="1"/>
  <c r="O210" i="1"/>
  <c r="J211" i="1"/>
  <c r="K211" i="1"/>
  <c r="N211" i="1"/>
  <c r="O211" i="1"/>
  <c r="J212" i="1"/>
  <c r="K212" i="1"/>
  <c r="N212" i="1"/>
  <c r="O212" i="1"/>
  <c r="J213" i="1"/>
  <c r="K213" i="1"/>
  <c r="N213" i="1"/>
  <c r="O213" i="1"/>
  <c r="J214" i="1"/>
  <c r="K214" i="1"/>
  <c r="N214" i="1"/>
  <c r="O214" i="1"/>
  <c r="J215" i="1"/>
  <c r="K215" i="1"/>
  <c r="N215" i="1"/>
  <c r="O215" i="1"/>
  <c r="J216" i="1"/>
  <c r="K216" i="1"/>
  <c r="N216" i="1"/>
  <c r="O216" i="1"/>
  <c r="J217" i="1"/>
  <c r="K217" i="1"/>
  <c r="N217" i="1"/>
  <c r="O217" i="1"/>
  <c r="J218" i="1"/>
  <c r="K218" i="1"/>
  <c r="N218" i="1"/>
  <c r="O218" i="1"/>
  <c r="J219" i="1"/>
  <c r="K219" i="1"/>
  <c r="N219" i="1"/>
  <c r="O219" i="1"/>
  <c r="J220" i="1"/>
  <c r="K220" i="1"/>
  <c r="N220" i="1"/>
  <c r="O220" i="1"/>
  <c r="J221" i="1"/>
  <c r="A9" i="2" s="1"/>
  <c r="K221" i="1"/>
  <c r="N221" i="1"/>
  <c r="O221" i="1"/>
  <c r="J222" i="1"/>
  <c r="K222" i="1"/>
  <c r="N222" i="1"/>
  <c r="O222" i="1"/>
  <c r="J223" i="1"/>
  <c r="A10" i="2" s="1"/>
  <c r="K223" i="1"/>
  <c r="L223" i="1" s="1"/>
  <c r="M223" i="1" s="1"/>
  <c r="B10" i="2" s="1"/>
  <c r="C10" i="2" s="1"/>
  <c r="N223" i="1"/>
  <c r="O223" i="1"/>
  <c r="J224" i="1"/>
  <c r="K224" i="1"/>
  <c r="N224" i="1"/>
  <c r="O224" i="1"/>
  <c r="J225" i="1"/>
  <c r="K225" i="1"/>
  <c r="N225" i="1"/>
  <c r="O225" i="1"/>
  <c r="J226" i="1"/>
  <c r="K226" i="1"/>
  <c r="N226" i="1"/>
  <c r="O226" i="1"/>
  <c r="J227" i="1"/>
  <c r="K227" i="1"/>
  <c r="N227" i="1"/>
  <c r="O227" i="1"/>
  <c r="J228" i="1"/>
  <c r="K228" i="1"/>
  <c r="N228" i="1"/>
  <c r="O228" i="1"/>
  <c r="J229" i="1"/>
  <c r="K229" i="1"/>
  <c r="N229" i="1"/>
  <c r="O229" i="1"/>
  <c r="J230" i="1"/>
  <c r="K230" i="1"/>
  <c r="N230" i="1"/>
  <c r="O230" i="1"/>
  <c r="J231" i="1"/>
  <c r="K231" i="1"/>
  <c r="N231" i="1"/>
  <c r="O231" i="1"/>
  <c r="J232" i="1"/>
  <c r="K232" i="1"/>
  <c r="N232" i="1"/>
  <c r="O232" i="1"/>
  <c r="J233" i="1"/>
  <c r="K233" i="1"/>
  <c r="N233" i="1"/>
  <c r="O233" i="1"/>
  <c r="J234" i="1"/>
  <c r="K234" i="1"/>
  <c r="N234" i="1"/>
  <c r="O234" i="1"/>
  <c r="J235" i="1"/>
  <c r="K235" i="1"/>
  <c r="N235" i="1"/>
  <c r="O235" i="1"/>
  <c r="J236" i="1"/>
  <c r="K236" i="1"/>
  <c r="N236" i="1"/>
  <c r="O236" i="1"/>
  <c r="J237" i="1"/>
  <c r="K237" i="1"/>
  <c r="N237" i="1"/>
  <c r="O237" i="1"/>
  <c r="J238" i="1"/>
  <c r="K238" i="1"/>
  <c r="N238" i="1"/>
  <c r="O238" i="1"/>
  <c r="J239" i="1"/>
  <c r="K239" i="1"/>
  <c r="N239" i="1"/>
  <c r="O239" i="1"/>
  <c r="J240" i="1"/>
  <c r="K240" i="1"/>
  <c r="N240" i="1"/>
  <c r="O240" i="1"/>
  <c r="J241" i="1"/>
  <c r="K241" i="1"/>
  <c r="N241" i="1"/>
  <c r="O241" i="1"/>
  <c r="J242" i="1"/>
  <c r="K242" i="1"/>
  <c r="N242" i="1"/>
  <c r="O242" i="1"/>
  <c r="J243" i="1"/>
  <c r="K243" i="1"/>
  <c r="N243" i="1"/>
  <c r="O243" i="1"/>
  <c r="J244" i="1"/>
  <c r="K244" i="1"/>
  <c r="N244" i="1"/>
  <c r="O244" i="1"/>
  <c r="J245" i="1"/>
  <c r="K245" i="1"/>
  <c r="N245" i="1"/>
  <c r="O245" i="1"/>
  <c r="J246" i="1"/>
  <c r="K246" i="1"/>
  <c r="N246" i="1"/>
  <c r="O246" i="1"/>
  <c r="J247" i="1"/>
  <c r="K247" i="1"/>
  <c r="N247" i="1"/>
  <c r="O247" i="1"/>
  <c r="J248" i="1"/>
  <c r="K248" i="1"/>
  <c r="N248" i="1"/>
  <c r="O248" i="1"/>
  <c r="J249" i="1"/>
  <c r="K249" i="1"/>
  <c r="N249" i="1"/>
  <c r="O249" i="1"/>
  <c r="J250" i="1"/>
  <c r="K250" i="1"/>
  <c r="N250" i="1"/>
  <c r="O250" i="1"/>
  <c r="J251" i="1"/>
  <c r="K251" i="1"/>
  <c r="N251" i="1"/>
  <c r="O251" i="1"/>
  <c r="J252" i="1"/>
  <c r="K252" i="1"/>
  <c r="N252" i="1"/>
  <c r="O252" i="1"/>
  <c r="J253" i="1"/>
  <c r="K253" i="1"/>
  <c r="N253" i="1"/>
  <c r="O253" i="1"/>
  <c r="J254" i="1"/>
  <c r="K254" i="1"/>
  <c r="N254" i="1"/>
  <c r="O254" i="1"/>
  <c r="J255" i="1"/>
  <c r="K255" i="1"/>
  <c r="N255" i="1"/>
  <c r="O255" i="1"/>
  <c r="J256" i="1"/>
  <c r="K256" i="1"/>
  <c r="N256" i="1"/>
  <c r="O256" i="1"/>
  <c r="J257" i="1"/>
  <c r="K257" i="1"/>
  <c r="N257" i="1"/>
  <c r="O257" i="1"/>
  <c r="J258" i="1"/>
  <c r="K258" i="1"/>
  <c r="N258" i="1"/>
  <c r="O258" i="1"/>
  <c r="J259" i="1"/>
  <c r="K259" i="1"/>
  <c r="N259" i="1"/>
  <c r="O259" i="1"/>
  <c r="J260" i="1"/>
  <c r="K260" i="1"/>
  <c r="N260" i="1"/>
  <c r="O260" i="1"/>
  <c r="J261" i="1"/>
  <c r="K261" i="1"/>
  <c r="N261" i="1"/>
  <c r="O261" i="1"/>
  <c r="J262" i="1"/>
  <c r="K262" i="1"/>
  <c r="N262" i="1"/>
  <c r="O262" i="1"/>
  <c r="J263" i="1"/>
  <c r="K263" i="1"/>
  <c r="N263" i="1"/>
  <c r="O263" i="1"/>
  <c r="J264" i="1"/>
  <c r="A12" i="2" s="1"/>
  <c r="K264" i="1"/>
  <c r="L264" i="1" s="1"/>
  <c r="M264" i="1" s="1"/>
  <c r="B12" i="2" s="1"/>
  <c r="C12" i="2" s="1"/>
  <c r="N264" i="1"/>
  <c r="O264" i="1"/>
  <c r="J265" i="1"/>
  <c r="K265" i="1"/>
  <c r="N265" i="1"/>
  <c r="O265" i="1"/>
  <c r="J266" i="1"/>
  <c r="K266" i="1"/>
  <c r="N266" i="1"/>
  <c r="O266" i="1"/>
  <c r="J267" i="1"/>
  <c r="K267" i="1"/>
  <c r="N267" i="1"/>
  <c r="O267" i="1"/>
  <c r="J268" i="1"/>
  <c r="K268" i="1"/>
  <c r="N268" i="1"/>
  <c r="O268" i="1"/>
  <c r="J269" i="1"/>
  <c r="A13" i="2" s="1"/>
  <c r="K269" i="1"/>
  <c r="L269" i="1" s="1"/>
  <c r="M269" i="1" s="1"/>
  <c r="B13" i="2" s="1"/>
  <c r="C13" i="2" s="1"/>
  <c r="N269" i="1"/>
  <c r="O269" i="1"/>
  <c r="J270" i="1"/>
  <c r="K270" i="1"/>
  <c r="N270" i="1"/>
  <c r="O270" i="1"/>
  <c r="J271" i="1"/>
  <c r="A14" i="2" s="1"/>
  <c r="K271" i="1"/>
  <c r="L271" i="1" s="1"/>
  <c r="M271" i="1" s="1"/>
  <c r="B14" i="2" s="1"/>
  <c r="C14" i="2" s="1"/>
  <c r="N271" i="1"/>
  <c r="O271" i="1"/>
  <c r="J272" i="1"/>
  <c r="K272" i="1"/>
  <c r="N272" i="1"/>
  <c r="O272" i="1"/>
  <c r="J273" i="1"/>
  <c r="K273" i="1"/>
  <c r="N273" i="1"/>
  <c r="O273" i="1"/>
  <c r="J274" i="1"/>
  <c r="K274" i="1"/>
  <c r="N274" i="1"/>
  <c r="O274" i="1"/>
  <c r="J275" i="1"/>
  <c r="K275" i="1"/>
  <c r="N275" i="1"/>
  <c r="O275" i="1"/>
  <c r="J276" i="1"/>
  <c r="K276" i="1"/>
  <c r="N276" i="1"/>
  <c r="O276" i="1"/>
  <c r="J277" i="1"/>
  <c r="K277" i="1"/>
  <c r="N277" i="1"/>
  <c r="O277" i="1"/>
  <c r="J278" i="1"/>
  <c r="K278" i="1"/>
  <c r="N278" i="1"/>
  <c r="O278" i="1"/>
  <c r="J279" i="1"/>
  <c r="K279" i="1"/>
  <c r="N279" i="1"/>
  <c r="O279" i="1"/>
  <c r="J280" i="1"/>
  <c r="K280" i="1"/>
  <c r="N280" i="1"/>
  <c r="O280" i="1"/>
  <c r="J281" i="1"/>
  <c r="K281" i="1"/>
  <c r="N281" i="1"/>
  <c r="O281" i="1"/>
  <c r="J282" i="1"/>
  <c r="K282" i="1"/>
  <c r="N282" i="1"/>
  <c r="O282" i="1"/>
  <c r="J283" i="1"/>
  <c r="K283" i="1"/>
  <c r="N283" i="1"/>
  <c r="O283" i="1"/>
  <c r="J284" i="1"/>
  <c r="K284" i="1"/>
  <c r="N284" i="1"/>
  <c r="O284" i="1"/>
  <c r="J285" i="1"/>
  <c r="K285" i="1"/>
  <c r="N285" i="1"/>
  <c r="O285" i="1"/>
  <c r="J286" i="1"/>
  <c r="K286" i="1"/>
  <c r="N286" i="1"/>
  <c r="O286" i="1"/>
  <c r="J287" i="1"/>
  <c r="K287" i="1"/>
  <c r="N287" i="1"/>
  <c r="O287" i="1"/>
  <c r="J288" i="1"/>
  <c r="K288" i="1"/>
  <c r="N288" i="1"/>
  <c r="O288" i="1"/>
  <c r="J289" i="1"/>
  <c r="K289" i="1"/>
  <c r="N289" i="1"/>
  <c r="O289" i="1"/>
  <c r="J290" i="1"/>
  <c r="K290" i="1"/>
  <c r="N290" i="1"/>
  <c r="O290" i="1"/>
  <c r="J291" i="1"/>
  <c r="K291" i="1"/>
  <c r="N291" i="1"/>
  <c r="O291" i="1"/>
  <c r="J292" i="1"/>
  <c r="K292" i="1"/>
  <c r="N292" i="1"/>
  <c r="O292" i="1"/>
  <c r="J293" i="1"/>
  <c r="K293" i="1"/>
  <c r="N293" i="1"/>
  <c r="O293" i="1"/>
  <c r="J294" i="1"/>
  <c r="K294" i="1"/>
  <c r="N294" i="1"/>
  <c r="O294" i="1"/>
  <c r="J295" i="1"/>
  <c r="K295" i="1"/>
  <c r="N295" i="1"/>
  <c r="O295" i="1"/>
  <c r="J296" i="1"/>
  <c r="K296" i="1"/>
  <c r="N296" i="1"/>
  <c r="O296" i="1"/>
  <c r="J297" i="1"/>
  <c r="K297" i="1"/>
  <c r="N297" i="1"/>
  <c r="O297" i="1"/>
  <c r="J298" i="1"/>
  <c r="K298" i="1"/>
  <c r="N298" i="1"/>
  <c r="O298" i="1"/>
  <c r="J302" i="1"/>
  <c r="K302" i="1"/>
  <c r="N302" i="1"/>
  <c r="O302" i="1"/>
  <c r="J303" i="1"/>
  <c r="K303" i="1"/>
  <c r="N303" i="1"/>
  <c r="O303" i="1"/>
  <c r="J304" i="1"/>
  <c r="K304" i="1"/>
  <c r="N304" i="1"/>
  <c r="O304" i="1"/>
  <c r="J305" i="1"/>
  <c r="K305" i="1"/>
  <c r="N305" i="1"/>
  <c r="O305" i="1"/>
  <c r="J306" i="1"/>
  <c r="K306" i="1"/>
  <c r="N306" i="1"/>
  <c r="O306" i="1"/>
  <c r="J307" i="1"/>
  <c r="K307" i="1"/>
  <c r="N307" i="1"/>
  <c r="O307" i="1"/>
  <c r="J308" i="1"/>
  <c r="K308" i="1"/>
  <c r="N308" i="1"/>
  <c r="O308" i="1"/>
  <c r="J309" i="1"/>
  <c r="K309" i="1"/>
  <c r="N309" i="1"/>
  <c r="O309" i="1"/>
  <c r="J310" i="1"/>
  <c r="K310" i="1"/>
  <c r="N310" i="1"/>
  <c r="O310" i="1"/>
  <c r="J311" i="1"/>
  <c r="K311" i="1"/>
  <c r="N311" i="1"/>
  <c r="O311" i="1"/>
  <c r="J312" i="1"/>
  <c r="K312" i="1"/>
  <c r="N312" i="1"/>
  <c r="O312" i="1"/>
  <c r="J313" i="1"/>
  <c r="K313" i="1"/>
  <c r="N313" i="1"/>
  <c r="O313" i="1"/>
  <c r="J314" i="1"/>
  <c r="K314" i="1"/>
  <c r="N314" i="1"/>
  <c r="O314" i="1"/>
  <c r="J315" i="1"/>
  <c r="K315" i="1"/>
  <c r="N315" i="1"/>
  <c r="O315" i="1"/>
  <c r="J316" i="1"/>
  <c r="K316" i="1"/>
  <c r="N316" i="1"/>
  <c r="O316" i="1"/>
  <c r="J317" i="1"/>
  <c r="K317" i="1"/>
  <c r="N317" i="1"/>
  <c r="O317" i="1"/>
  <c r="J318" i="1"/>
  <c r="K318" i="1"/>
  <c r="N318" i="1"/>
  <c r="O318" i="1"/>
  <c r="J319" i="1"/>
  <c r="K319" i="1"/>
  <c r="N319" i="1"/>
  <c r="O319" i="1"/>
  <c r="J320" i="1"/>
  <c r="K320" i="1"/>
  <c r="N320" i="1"/>
  <c r="O320" i="1"/>
  <c r="J321" i="1"/>
  <c r="K321" i="1"/>
  <c r="N321" i="1"/>
  <c r="O321" i="1"/>
  <c r="J322" i="1"/>
  <c r="K322" i="1"/>
  <c r="N322" i="1"/>
  <c r="O322" i="1"/>
  <c r="J323" i="1"/>
  <c r="K323" i="1"/>
  <c r="N323" i="1"/>
  <c r="O323" i="1"/>
  <c r="J324" i="1"/>
  <c r="K324" i="1"/>
  <c r="N324" i="1"/>
  <c r="O324" i="1"/>
  <c r="J325" i="1"/>
  <c r="K325" i="1"/>
  <c r="N325" i="1"/>
  <c r="O325" i="1"/>
  <c r="J326" i="1"/>
  <c r="K326" i="1"/>
  <c r="N326" i="1"/>
  <c r="O326" i="1"/>
  <c r="J327" i="1"/>
  <c r="K327" i="1"/>
  <c r="N327" i="1"/>
  <c r="O327" i="1"/>
  <c r="J328" i="1"/>
  <c r="K328" i="1"/>
  <c r="N328" i="1"/>
  <c r="O328" i="1"/>
  <c r="J329" i="1"/>
  <c r="K329" i="1"/>
  <c r="N329" i="1"/>
  <c r="O329" i="1"/>
  <c r="J330" i="1"/>
  <c r="K330" i="1"/>
  <c r="N330" i="1"/>
  <c r="O330" i="1"/>
  <c r="J331" i="1"/>
  <c r="K331" i="1"/>
  <c r="N331" i="1"/>
  <c r="O331" i="1"/>
  <c r="J332" i="1"/>
  <c r="K332" i="1"/>
  <c r="N332" i="1"/>
  <c r="O332" i="1"/>
  <c r="J333" i="1"/>
  <c r="K333" i="1"/>
  <c r="N333" i="1"/>
  <c r="O333" i="1"/>
  <c r="J334" i="1"/>
  <c r="K334" i="1"/>
  <c r="N334" i="1"/>
  <c r="O334" i="1"/>
  <c r="J338" i="1"/>
  <c r="K338" i="1"/>
  <c r="N338" i="1"/>
  <c r="O338" i="1"/>
  <c r="J339" i="1"/>
  <c r="K339" i="1"/>
  <c r="N339" i="1"/>
  <c r="O339" i="1"/>
  <c r="J340" i="1"/>
  <c r="K340" i="1"/>
  <c r="N340" i="1"/>
  <c r="O340" i="1"/>
  <c r="J341" i="1"/>
  <c r="K341" i="1"/>
  <c r="N341" i="1"/>
  <c r="O341" i="1"/>
  <c r="J342" i="1"/>
  <c r="K342" i="1"/>
  <c r="N342" i="1"/>
  <c r="O342" i="1"/>
  <c r="J343" i="1"/>
  <c r="K343" i="1"/>
  <c r="N343" i="1"/>
  <c r="O343" i="1"/>
  <c r="J344" i="1"/>
  <c r="K344" i="1"/>
  <c r="N344" i="1"/>
  <c r="O344" i="1"/>
  <c r="J345" i="1"/>
  <c r="K345" i="1"/>
  <c r="N345" i="1"/>
  <c r="O345" i="1"/>
  <c r="J346" i="1"/>
  <c r="K346" i="1"/>
  <c r="N346" i="1"/>
  <c r="O346" i="1"/>
  <c r="J350" i="1"/>
  <c r="K350" i="1"/>
  <c r="N350" i="1"/>
  <c r="O350" i="1"/>
  <c r="J351" i="1"/>
  <c r="K351" i="1"/>
  <c r="N351" i="1"/>
  <c r="O351" i="1"/>
  <c r="J356" i="1"/>
  <c r="K356" i="1"/>
  <c r="N356" i="1"/>
  <c r="O356" i="1"/>
  <c r="J357" i="1"/>
  <c r="A18" i="2" s="1"/>
  <c r="K357" i="1"/>
  <c r="L357" i="1" s="1"/>
  <c r="M357" i="1" s="1"/>
  <c r="B18" i="2" s="1"/>
  <c r="C18" i="2" s="1"/>
  <c r="N357" i="1"/>
  <c r="O357" i="1"/>
  <c r="J361" i="1"/>
  <c r="K361" i="1"/>
  <c r="N361" i="1"/>
  <c r="O361" i="1"/>
  <c r="J362" i="1"/>
  <c r="K362" i="1"/>
  <c r="N362" i="1"/>
  <c r="O362" i="1"/>
  <c r="J363" i="1"/>
  <c r="K363" i="1"/>
  <c r="N363" i="1"/>
  <c r="O363" i="1"/>
  <c r="J364" i="1"/>
  <c r="K364" i="1"/>
  <c r="N364" i="1"/>
  <c r="O364" i="1"/>
  <c r="J365" i="1"/>
  <c r="K365" i="1"/>
  <c r="N365" i="1"/>
  <c r="O365" i="1"/>
  <c r="J366" i="1"/>
  <c r="K366" i="1"/>
  <c r="N366" i="1"/>
  <c r="O366" i="1"/>
  <c r="J367" i="1"/>
  <c r="K367" i="1"/>
  <c r="N367" i="1"/>
  <c r="O367" i="1"/>
  <c r="J368" i="1"/>
  <c r="K368" i="1"/>
  <c r="N368" i="1"/>
  <c r="O368" i="1"/>
  <c r="J369" i="1"/>
  <c r="K369" i="1"/>
  <c r="N369" i="1"/>
  <c r="O369" i="1"/>
  <c r="J370" i="1"/>
  <c r="K370" i="1"/>
  <c r="N370" i="1"/>
  <c r="O370" i="1"/>
  <c r="J371" i="1"/>
  <c r="K371" i="1"/>
  <c r="N371" i="1"/>
  <c r="O371" i="1"/>
  <c r="J372" i="1"/>
  <c r="K372" i="1"/>
  <c r="N372" i="1"/>
  <c r="O372" i="1"/>
  <c r="J373" i="1"/>
  <c r="K373" i="1"/>
  <c r="N373" i="1"/>
  <c r="O373" i="1"/>
  <c r="J374" i="1"/>
  <c r="A19" i="2" s="1"/>
  <c r="K374" i="1"/>
  <c r="L374" i="1" s="1"/>
  <c r="M374" i="1" s="1"/>
  <c r="B19" i="2" s="1"/>
  <c r="C19" i="2" s="1"/>
  <c r="N374" i="1"/>
  <c r="O374" i="1"/>
  <c r="J375" i="1"/>
  <c r="K375" i="1"/>
  <c r="N375" i="1"/>
  <c r="O375" i="1"/>
  <c r="J376" i="1"/>
  <c r="K376" i="1"/>
  <c r="N376" i="1"/>
  <c r="O376" i="1"/>
  <c r="J377" i="1"/>
  <c r="K377" i="1"/>
  <c r="N377" i="1"/>
  <c r="O377" i="1"/>
  <c r="J378" i="1"/>
  <c r="K378" i="1"/>
  <c r="N378" i="1"/>
  <c r="O378" i="1"/>
  <c r="J379" i="1"/>
  <c r="K379" i="1"/>
  <c r="N379" i="1"/>
  <c r="O379" i="1"/>
  <c r="J380" i="1"/>
  <c r="K380" i="1"/>
  <c r="N380" i="1"/>
  <c r="O380" i="1"/>
  <c r="J381" i="1"/>
  <c r="K381" i="1"/>
  <c r="N381" i="1"/>
  <c r="O381" i="1"/>
  <c r="J382" i="1"/>
  <c r="K382" i="1"/>
  <c r="N382" i="1"/>
  <c r="O382" i="1"/>
  <c r="J383" i="1"/>
  <c r="K383" i="1"/>
  <c r="N383" i="1"/>
  <c r="O383" i="1"/>
  <c r="J384" i="1"/>
  <c r="K384" i="1"/>
  <c r="N384" i="1"/>
  <c r="O384" i="1"/>
  <c r="J385" i="1"/>
  <c r="K385" i="1"/>
  <c r="N385" i="1"/>
  <c r="O385" i="1"/>
  <c r="J386" i="1"/>
  <c r="K386" i="1"/>
  <c r="N386" i="1"/>
  <c r="O386" i="1"/>
  <c r="J387" i="1"/>
  <c r="K387" i="1"/>
  <c r="N387" i="1"/>
  <c r="O387" i="1"/>
  <c r="J388" i="1"/>
  <c r="K388" i="1"/>
  <c r="N388" i="1"/>
  <c r="O388" i="1"/>
  <c r="J389" i="1"/>
  <c r="K389" i="1"/>
  <c r="N389" i="1"/>
  <c r="O389" i="1"/>
  <c r="J390" i="1"/>
  <c r="K390" i="1"/>
  <c r="N390" i="1"/>
  <c r="O390" i="1"/>
  <c r="J391" i="1"/>
  <c r="K391" i="1"/>
  <c r="N391" i="1"/>
  <c r="O391" i="1"/>
  <c r="J392" i="1"/>
  <c r="K392" i="1"/>
  <c r="N392" i="1"/>
  <c r="O392" i="1"/>
  <c r="J393" i="1"/>
  <c r="K393" i="1"/>
  <c r="N393" i="1"/>
  <c r="O393" i="1"/>
  <c r="J394" i="1"/>
  <c r="K394" i="1"/>
  <c r="N394" i="1"/>
  <c r="O394" i="1"/>
  <c r="J395" i="1"/>
  <c r="K395" i="1"/>
  <c r="N395" i="1"/>
  <c r="O395" i="1"/>
  <c r="J396" i="1"/>
  <c r="K396" i="1"/>
  <c r="N396" i="1"/>
  <c r="O396" i="1"/>
  <c r="J397" i="1"/>
  <c r="K397" i="1"/>
  <c r="N397" i="1"/>
  <c r="O397" i="1"/>
  <c r="J398" i="1"/>
  <c r="K398" i="1"/>
  <c r="N398" i="1"/>
  <c r="O398" i="1"/>
  <c r="J399" i="1"/>
  <c r="K399" i="1"/>
  <c r="N399" i="1"/>
  <c r="O399" i="1"/>
  <c r="J400" i="1"/>
  <c r="K400" i="1"/>
  <c r="N400" i="1"/>
  <c r="O400" i="1"/>
  <c r="J401" i="1"/>
  <c r="K401" i="1"/>
  <c r="N401" i="1"/>
  <c r="O401" i="1"/>
  <c r="J402" i="1"/>
  <c r="K402" i="1"/>
  <c r="N402" i="1"/>
  <c r="O402" i="1"/>
  <c r="J403" i="1"/>
  <c r="K403" i="1"/>
  <c r="N403" i="1"/>
  <c r="O403" i="1"/>
  <c r="J404" i="1"/>
  <c r="K404" i="1"/>
  <c r="N404" i="1"/>
  <c r="O404" i="1"/>
  <c r="J405" i="1"/>
  <c r="K405" i="1"/>
  <c r="N405" i="1"/>
  <c r="O405" i="1"/>
  <c r="J406" i="1"/>
  <c r="K406" i="1"/>
  <c r="N406" i="1"/>
  <c r="O406" i="1"/>
  <c r="J407" i="1"/>
  <c r="K407" i="1"/>
  <c r="N407" i="1"/>
  <c r="O407" i="1"/>
  <c r="J408" i="1"/>
  <c r="K408" i="1"/>
  <c r="N408" i="1"/>
  <c r="O408" i="1"/>
  <c r="J409" i="1"/>
  <c r="K409" i="1"/>
  <c r="N409" i="1"/>
  <c r="O409" i="1"/>
  <c r="J410" i="1"/>
  <c r="K410" i="1"/>
  <c r="N410" i="1"/>
  <c r="O410" i="1"/>
  <c r="J414" i="1"/>
  <c r="K414" i="1"/>
  <c r="N414" i="1"/>
  <c r="O414" i="1"/>
  <c r="J415" i="1"/>
  <c r="K415" i="1"/>
  <c r="N415" i="1"/>
  <c r="O415" i="1"/>
  <c r="J416" i="1"/>
  <c r="K416" i="1"/>
  <c r="N416" i="1"/>
  <c r="O416" i="1"/>
  <c r="J417" i="1"/>
  <c r="K417" i="1"/>
  <c r="N417" i="1"/>
  <c r="O417" i="1"/>
  <c r="J418" i="1"/>
  <c r="K418" i="1"/>
  <c r="N418" i="1"/>
  <c r="O418" i="1"/>
  <c r="J419" i="1"/>
  <c r="K419" i="1"/>
  <c r="N419" i="1"/>
  <c r="O419" i="1"/>
  <c r="J420" i="1"/>
  <c r="K420" i="1"/>
  <c r="N420" i="1"/>
  <c r="O420" i="1"/>
  <c r="J421" i="1"/>
  <c r="K421" i="1"/>
  <c r="N421" i="1"/>
  <c r="O421" i="1"/>
  <c r="J422" i="1"/>
  <c r="K422" i="1"/>
  <c r="N422" i="1"/>
  <c r="O422" i="1"/>
  <c r="J423" i="1"/>
  <c r="K423" i="1"/>
  <c r="N423" i="1"/>
  <c r="O423" i="1"/>
  <c r="J424" i="1"/>
  <c r="K424" i="1"/>
  <c r="N424" i="1"/>
  <c r="O424" i="1"/>
  <c r="J425" i="1"/>
  <c r="K425" i="1"/>
  <c r="N425" i="1"/>
  <c r="O425" i="1"/>
  <c r="J426" i="1"/>
  <c r="K426" i="1"/>
  <c r="N426" i="1"/>
  <c r="O426" i="1"/>
  <c r="J427" i="1"/>
  <c r="K427" i="1"/>
  <c r="N427" i="1"/>
  <c r="O427" i="1"/>
  <c r="J428" i="1"/>
  <c r="K428" i="1"/>
  <c r="N428" i="1"/>
  <c r="O428" i="1"/>
  <c r="J429" i="1"/>
  <c r="K429" i="1"/>
  <c r="N429" i="1"/>
  <c r="O429" i="1"/>
  <c r="J430" i="1"/>
  <c r="K430" i="1"/>
  <c r="N430" i="1"/>
  <c r="O430" i="1"/>
  <c r="J431" i="1"/>
  <c r="K431" i="1"/>
  <c r="N431" i="1"/>
  <c r="O431" i="1"/>
  <c r="J432" i="1"/>
  <c r="K432" i="1"/>
  <c r="N432" i="1"/>
  <c r="O432" i="1"/>
  <c r="J433" i="1"/>
  <c r="K433" i="1"/>
  <c r="N433" i="1"/>
  <c r="O433" i="1"/>
  <c r="J434" i="1"/>
  <c r="K434" i="1"/>
  <c r="N434" i="1"/>
  <c r="O434" i="1"/>
  <c r="J435" i="1"/>
  <c r="K435" i="1"/>
  <c r="N435" i="1"/>
  <c r="O435" i="1"/>
  <c r="J436" i="1"/>
  <c r="K436" i="1"/>
  <c r="N436" i="1"/>
  <c r="O436" i="1"/>
  <c r="J440" i="1"/>
  <c r="K440" i="1"/>
  <c r="N440" i="1"/>
  <c r="O440" i="1"/>
  <c r="J441" i="1"/>
  <c r="K441" i="1"/>
  <c r="N441" i="1"/>
  <c r="O441" i="1"/>
  <c r="J442" i="1"/>
  <c r="K442" i="1"/>
  <c r="N442" i="1"/>
  <c r="O442" i="1"/>
  <c r="J443" i="1"/>
  <c r="K443" i="1"/>
  <c r="N443" i="1"/>
  <c r="O443" i="1"/>
  <c r="J444" i="1"/>
  <c r="K444" i="1"/>
  <c r="N444" i="1"/>
  <c r="O444" i="1"/>
  <c r="J445" i="1"/>
  <c r="K445" i="1"/>
  <c r="N445" i="1"/>
  <c r="O445" i="1"/>
  <c r="J446" i="1"/>
  <c r="K446" i="1"/>
  <c r="N446" i="1"/>
  <c r="O446" i="1"/>
  <c r="J447" i="1"/>
  <c r="K447" i="1"/>
  <c r="N447" i="1"/>
  <c r="O447" i="1"/>
  <c r="J448" i="1"/>
  <c r="K448" i="1"/>
  <c r="N448" i="1"/>
  <c r="O448" i="1"/>
  <c r="J449" i="1"/>
  <c r="K449" i="1"/>
  <c r="N449" i="1"/>
  <c r="O449" i="1"/>
  <c r="J450" i="1"/>
  <c r="K450" i="1"/>
  <c r="N450" i="1"/>
  <c r="O450" i="1"/>
  <c r="J451" i="1"/>
  <c r="K451" i="1"/>
  <c r="N451" i="1"/>
  <c r="O451" i="1"/>
  <c r="J452" i="1"/>
  <c r="K452" i="1"/>
  <c r="N452" i="1"/>
  <c r="O452" i="1"/>
  <c r="J453" i="1"/>
  <c r="K453" i="1"/>
  <c r="N453" i="1"/>
  <c r="O453" i="1"/>
  <c r="J454" i="1"/>
  <c r="K454" i="1"/>
  <c r="N454" i="1"/>
  <c r="O454" i="1"/>
  <c r="J455" i="1"/>
  <c r="K455" i="1"/>
  <c r="N455" i="1"/>
  <c r="O455" i="1"/>
  <c r="J456" i="1"/>
  <c r="K456" i="1"/>
  <c r="N456" i="1"/>
  <c r="O456" i="1"/>
  <c r="J460" i="1"/>
  <c r="K460" i="1"/>
  <c r="N460" i="1"/>
  <c r="O460" i="1"/>
  <c r="J461" i="1"/>
  <c r="K461" i="1"/>
  <c r="N461" i="1"/>
  <c r="O461" i="1"/>
  <c r="J462" i="1"/>
  <c r="K462" i="1"/>
  <c r="N462" i="1"/>
  <c r="O462" i="1"/>
  <c r="J463" i="1"/>
  <c r="K463" i="1"/>
  <c r="N463" i="1"/>
  <c r="O463" i="1"/>
  <c r="J464" i="1"/>
  <c r="K464" i="1"/>
  <c r="N464" i="1"/>
  <c r="O464" i="1"/>
  <c r="J465" i="1"/>
  <c r="K465" i="1"/>
  <c r="N465" i="1"/>
  <c r="O465" i="1"/>
  <c r="J466" i="1"/>
  <c r="K466" i="1"/>
  <c r="N466" i="1"/>
  <c r="O466" i="1"/>
  <c r="J467" i="1"/>
  <c r="K467" i="1"/>
  <c r="N467" i="1"/>
  <c r="O467" i="1"/>
  <c r="J468" i="1"/>
  <c r="K468" i="1"/>
  <c r="N468" i="1"/>
  <c r="O468" i="1"/>
  <c r="J469" i="1"/>
  <c r="K469" i="1"/>
  <c r="N469" i="1"/>
  <c r="O469" i="1"/>
  <c r="J470" i="1"/>
  <c r="K470" i="1"/>
  <c r="N470" i="1"/>
  <c r="O470" i="1"/>
  <c r="J471" i="1"/>
  <c r="K471" i="1"/>
  <c r="N471" i="1"/>
  <c r="O471" i="1"/>
  <c r="J472" i="1"/>
  <c r="K472" i="1"/>
  <c r="N472" i="1"/>
  <c r="O472" i="1"/>
  <c r="J473" i="1"/>
  <c r="K473" i="1"/>
  <c r="N473" i="1"/>
  <c r="O473" i="1"/>
  <c r="J474" i="1"/>
  <c r="K474" i="1"/>
  <c r="N474" i="1"/>
  <c r="O474" i="1"/>
  <c r="J475" i="1"/>
  <c r="K475" i="1"/>
  <c r="N475" i="1"/>
  <c r="O475" i="1"/>
  <c r="J476" i="1"/>
  <c r="K476" i="1"/>
  <c r="N476" i="1"/>
  <c r="O476" i="1"/>
  <c r="J477" i="1"/>
  <c r="K477" i="1"/>
  <c r="N477" i="1"/>
  <c r="O477" i="1"/>
  <c r="J478" i="1"/>
  <c r="K478" i="1"/>
  <c r="N478" i="1"/>
  <c r="O478" i="1"/>
  <c r="J479" i="1"/>
  <c r="K479" i="1"/>
  <c r="N479" i="1"/>
  <c r="O479" i="1"/>
  <c r="J483" i="1"/>
  <c r="K483" i="1"/>
  <c r="N483" i="1"/>
  <c r="O483" i="1"/>
  <c r="J484" i="1"/>
  <c r="K484" i="1"/>
  <c r="N484" i="1"/>
  <c r="O484" i="1"/>
  <c r="J485" i="1"/>
  <c r="K485" i="1"/>
  <c r="N485" i="1"/>
  <c r="O485" i="1"/>
  <c r="J486" i="1"/>
  <c r="K486" i="1"/>
  <c r="N486" i="1"/>
  <c r="O486" i="1"/>
  <c r="J487" i="1"/>
  <c r="K487" i="1"/>
  <c r="N487" i="1"/>
  <c r="O487" i="1"/>
  <c r="J488" i="1"/>
  <c r="K488" i="1"/>
  <c r="N488" i="1"/>
  <c r="O488" i="1"/>
  <c r="J489" i="1"/>
  <c r="K489" i="1"/>
  <c r="N489" i="1"/>
  <c r="O489" i="1"/>
  <c r="J490" i="1"/>
  <c r="K490" i="1"/>
  <c r="N490" i="1"/>
  <c r="O490" i="1"/>
  <c r="J491" i="1"/>
  <c r="K491" i="1"/>
  <c r="N491" i="1"/>
  <c r="O491" i="1"/>
  <c r="J492" i="1"/>
  <c r="K492" i="1"/>
  <c r="N492" i="1"/>
  <c r="O492" i="1"/>
  <c r="J493" i="1"/>
  <c r="K493" i="1"/>
  <c r="N493" i="1"/>
  <c r="O493" i="1"/>
  <c r="J494" i="1"/>
  <c r="K494" i="1"/>
  <c r="N494" i="1"/>
  <c r="O494" i="1"/>
  <c r="J495" i="1"/>
  <c r="K495" i="1"/>
  <c r="N495" i="1"/>
  <c r="O495" i="1"/>
  <c r="J496" i="1"/>
  <c r="K496" i="1"/>
  <c r="N496" i="1"/>
  <c r="O496" i="1"/>
  <c r="J497" i="1"/>
  <c r="K497" i="1"/>
  <c r="N497" i="1"/>
  <c r="O497" i="1"/>
  <c r="J498" i="1"/>
  <c r="K498" i="1"/>
  <c r="N498" i="1"/>
  <c r="O498" i="1"/>
  <c r="J499" i="1"/>
  <c r="K499" i="1"/>
  <c r="N499" i="1"/>
  <c r="O499" i="1"/>
  <c r="J500" i="1"/>
  <c r="K500" i="1"/>
  <c r="N500" i="1"/>
  <c r="O500" i="1"/>
  <c r="J501" i="1"/>
  <c r="K501" i="1"/>
  <c r="N501" i="1"/>
  <c r="O501" i="1"/>
  <c r="J502" i="1"/>
  <c r="K502" i="1"/>
  <c r="N502" i="1"/>
  <c r="O502" i="1"/>
  <c r="J503" i="1"/>
  <c r="K503" i="1"/>
  <c r="N503" i="1"/>
  <c r="O503" i="1"/>
  <c r="J504" i="1"/>
  <c r="K504" i="1"/>
  <c r="N504" i="1"/>
  <c r="O504" i="1"/>
  <c r="J505" i="1"/>
  <c r="K505" i="1"/>
  <c r="N505" i="1"/>
  <c r="O505" i="1"/>
  <c r="J506" i="1"/>
  <c r="K506" i="1"/>
  <c r="N506" i="1"/>
  <c r="O506" i="1"/>
  <c r="J507" i="1"/>
  <c r="K507" i="1"/>
  <c r="N507" i="1"/>
  <c r="O507" i="1"/>
  <c r="J508" i="1"/>
  <c r="K508" i="1"/>
  <c r="N508" i="1"/>
  <c r="O508" i="1"/>
  <c r="J509" i="1"/>
  <c r="K509" i="1"/>
  <c r="N509" i="1"/>
  <c r="O509" i="1"/>
  <c r="J510" i="1"/>
  <c r="K510" i="1"/>
  <c r="N510" i="1"/>
  <c r="O510" i="1"/>
  <c r="J511" i="1"/>
  <c r="K511" i="1"/>
  <c r="N511" i="1"/>
  <c r="O511" i="1"/>
  <c r="J512" i="1"/>
  <c r="K512" i="1"/>
  <c r="N512" i="1"/>
  <c r="O512" i="1"/>
  <c r="J513" i="1"/>
  <c r="K513" i="1"/>
  <c r="N513" i="1"/>
  <c r="O513" i="1"/>
  <c r="J514" i="1"/>
  <c r="K514" i="1"/>
  <c r="N514" i="1"/>
  <c r="O514" i="1"/>
  <c r="J515" i="1"/>
  <c r="K515" i="1"/>
  <c r="N515" i="1"/>
  <c r="O515" i="1"/>
  <c r="J516" i="1"/>
  <c r="K516" i="1"/>
  <c r="N516" i="1"/>
  <c r="O516" i="1"/>
  <c r="J517" i="1"/>
  <c r="K517" i="1"/>
  <c r="N517" i="1"/>
  <c r="O517" i="1"/>
  <c r="J522" i="1"/>
  <c r="K522" i="1"/>
  <c r="N522" i="1"/>
  <c r="O522" i="1"/>
  <c r="J523" i="1"/>
  <c r="K523" i="1"/>
  <c r="N523" i="1"/>
  <c r="O523" i="1"/>
  <c r="J524" i="1"/>
  <c r="K524" i="1"/>
  <c r="N524" i="1"/>
  <c r="O524" i="1"/>
  <c r="J525" i="1"/>
  <c r="K525" i="1"/>
  <c r="N525" i="1"/>
  <c r="O525" i="1"/>
  <c r="J526" i="1"/>
  <c r="K526" i="1"/>
  <c r="N526" i="1"/>
  <c r="O526" i="1"/>
  <c r="J527" i="1"/>
  <c r="K527" i="1"/>
  <c r="N527" i="1"/>
  <c r="O527" i="1"/>
  <c r="J528" i="1"/>
  <c r="K528" i="1"/>
  <c r="N528" i="1"/>
  <c r="O528" i="1"/>
  <c r="J529" i="1"/>
  <c r="K529" i="1"/>
  <c r="N529" i="1"/>
  <c r="O529" i="1"/>
  <c r="J530" i="1"/>
  <c r="K530" i="1"/>
  <c r="N530" i="1"/>
  <c r="O530" i="1"/>
  <c r="J531" i="1"/>
  <c r="K531" i="1"/>
  <c r="N531" i="1"/>
  <c r="O531" i="1"/>
  <c r="J532" i="1"/>
  <c r="K532" i="1"/>
  <c r="N532" i="1"/>
  <c r="O532" i="1"/>
  <c r="J533" i="1"/>
  <c r="K533" i="1"/>
  <c r="N533" i="1"/>
  <c r="O533" i="1"/>
  <c r="J537" i="1"/>
  <c r="K537" i="1"/>
  <c r="N537" i="1"/>
  <c r="O537" i="1"/>
  <c r="J538" i="1"/>
  <c r="K538" i="1"/>
  <c r="N538" i="1"/>
  <c r="O538" i="1"/>
  <c r="J539" i="1"/>
  <c r="A29" i="2" s="1"/>
  <c r="K539" i="1"/>
  <c r="L539" i="1" s="1"/>
  <c r="M539" i="1" s="1"/>
  <c r="B29" i="2" s="1"/>
  <c r="C29" i="2" s="1"/>
  <c r="N539" i="1"/>
  <c r="O539" i="1"/>
  <c r="J540" i="1"/>
  <c r="K540" i="1"/>
  <c r="N540" i="1"/>
  <c r="O540" i="1"/>
  <c r="J541" i="1"/>
  <c r="K541" i="1"/>
  <c r="N541" i="1"/>
  <c r="O541" i="1"/>
  <c r="J542" i="1"/>
  <c r="K542" i="1"/>
  <c r="N542" i="1"/>
  <c r="O542" i="1"/>
  <c r="J543" i="1"/>
  <c r="K543" i="1"/>
  <c r="N543" i="1"/>
  <c r="O543" i="1"/>
  <c r="J544" i="1"/>
  <c r="K544" i="1"/>
  <c r="N544" i="1"/>
  <c r="O544" i="1"/>
  <c r="J545" i="1"/>
  <c r="K545" i="1"/>
  <c r="N545" i="1"/>
  <c r="O545" i="1"/>
  <c r="J546" i="1"/>
  <c r="K546" i="1"/>
  <c r="N546" i="1"/>
  <c r="O546" i="1"/>
  <c r="J547" i="1"/>
  <c r="K547" i="1"/>
  <c r="N547" i="1"/>
  <c r="O547" i="1"/>
  <c r="J548" i="1"/>
  <c r="K548" i="1"/>
  <c r="N548" i="1"/>
  <c r="O548" i="1"/>
  <c r="J552" i="1"/>
  <c r="K552" i="1"/>
  <c r="N552" i="1"/>
  <c r="O552" i="1"/>
  <c r="J553" i="1"/>
  <c r="K553" i="1"/>
  <c r="N553" i="1"/>
  <c r="O553" i="1"/>
  <c r="J554" i="1"/>
  <c r="K554" i="1"/>
  <c r="N554" i="1"/>
  <c r="O554" i="1"/>
  <c r="J555" i="1"/>
  <c r="K555" i="1"/>
  <c r="N555" i="1"/>
  <c r="O555" i="1"/>
  <c r="J556" i="1"/>
  <c r="K556" i="1"/>
  <c r="N556" i="1"/>
  <c r="O556" i="1"/>
  <c r="J557" i="1"/>
  <c r="K557" i="1"/>
  <c r="N557" i="1"/>
  <c r="O557" i="1"/>
  <c r="J558" i="1"/>
  <c r="K558" i="1"/>
  <c r="N558" i="1"/>
  <c r="O558" i="1"/>
  <c r="J559" i="1"/>
  <c r="K559" i="1"/>
  <c r="N559" i="1"/>
  <c r="O559" i="1"/>
  <c r="J560" i="1"/>
  <c r="K560" i="1"/>
  <c r="N560" i="1"/>
  <c r="O560" i="1"/>
  <c r="J561" i="1"/>
  <c r="K561" i="1"/>
  <c r="N561" i="1"/>
  <c r="O561" i="1"/>
  <c r="J562" i="1"/>
  <c r="K562" i="1"/>
  <c r="N562" i="1"/>
  <c r="O562" i="1"/>
  <c r="J563" i="1"/>
  <c r="K563" i="1"/>
  <c r="N563" i="1"/>
  <c r="O563" i="1"/>
  <c r="J564" i="1"/>
  <c r="K564" i="1"/>
  <c r="N564" i="1"/>
  <c r="O564" i="1"/>
  <c r="J565" i="1"/>
  <c r="K565" i="1"/>
  <c r="N565" i="1"/>
  <c r="O565" i="1"/>
  <c r="J566" i="1"/>
  <c r="K566" i="1"/>
  <c r="N566" i="1"/>
  <c r="O566" i="1"/>
  <c r="J567" i="1"/>
  <c r="K567" i="1"/>
  <c r="N567" i="1"/>
  <c r="O567" i="1"/>
  <c r="J568" i="1"/>
  <c r="K568" i="1"/>
  <c r="N568" i="1"/>
  <c r="O568" i="1"/>
  <c r="J569" i="1"/>
  <c r="K569" i="1"/>
  <c r="N569" i="1"/>
  <c r="O569" i="1"/>
  <c r="J570" i="1"/>
  <c r="K570" i="1"/>
  <c r="N570" i="1"/>
  <c r="O570" i="1"/>
  <c r="J571" i="1"/>
  <c r="K571" i="1"/>
  <c r="N571" i="1"/>
  <c r="O571" i="1"/>
  <c r="J572" i="1"/>
  <c r="K572" i="1"/>
  <c r="N572" i="1"/>
  <c r="O572" i="1"/>
  <c r="J573" i="1"/>
  <c r="K573" i="1"/>
  <c r="N573" i="1"/>
  <c r="O573" i="1"/>
  <c r="J574" i="1"/>
  <c r="K574" i="1"/>
  <c r="N574" i="1"/>
  <c r="O574" i="1"/>
  <c r="J575" i="1"/>
  <c r="K575" i="1"/>
  <c r="N575" i="1"/>
  <c r="O575" i="1"/>
  <c r="J579" i="1"/>
  <c r="K579" i="1"/>
  <c r="N579" i="1"/>
  <c r="O579" i="1"/>
  <c r="J580" i="1"/>
  <c r="K580" i="1"/>
  <c r="N580" i="1"/>
  <c r="O580" i="1"/>
  <c r="J581" i="1"/>
  <c r="K581" i="1"/>
  <c r="N581" i="1"/>
  <c r="O581" i="1"/>
  <c r="J582" i="1"/>
  <c r="K582" i="1"/>
  <c r="N582" i="1"/>
  <c r="O582" i="1"/>
  <c r="J583" i="1"/>
  <c r="K583" i="1"/>
  <c r="N583" i="1"/>
  <c r="O583" i="1"/>
  <c r="J584" i="1"/>
  <c r="K584" i="1"/>
  <c r="N584" i="1"/>
  <c r="O584" i="1"/>
  <c r="J585" i="1"/>
  <c r="K585" i="1"/>
  <c r="N585" i="1"/>
  <c r="O585" i="1"/>
  <c r="J586" i="1"/>
  <c r="K586" i="1"/>
  <c r="N586" i="1"/>
  <c r="O586" i="1"/>
  <c r="J587" i="1"/>
  <c r="K587" i="1"/>
  <c r="N587" i="1"/>
  <c r="O587" i="1"/>
  <c r="J588" i="1"/>
  <c r="K588" i="1"/>
  <c r="N588" i="1"/>
  <c r="O588" i="1"/>
  <c r="J589" i="1"/>
  <c r="K589" i="1"/>
  <c r="N589" i="1"/>
  <c r="O589" i="1"/>
  <c r="J593" i="1"/>
  <c r="K593" i="1"/>
  <c r="N593" i="1"/>
  <c r="O593" i="1"/>
  <c r="J594" i="1"/>
  <c r="K594" i="1"/>
  <c r="N594" i="1"/>
  <c r="O594" i="1"/>
  <c r="J595" i="1"/>
  <c r="A31" i="2" s="1"/>
  <c r="K595" i="1"/>
  <c r="L595" i="1" s="1"/>
  <c r="M595" i="1" s="1"/>
  <c r="B31" i="2" s="1"/>
  <c r="C31" i="2" s="1"/>
  <c r="N595" i="1"/>
  <c r="O595" i="1"/>
  <c r="J596" i="1"/>
  <c r="K596" i="1"/>
  <c r="N596" i="1"/>
  <c r="O596" i="1"/>
  <c r="J597" i="1"/>
  <c r="K597" i="1"/>
  <c r="N597" i="1"/>
  <c r="O597" i="1"/>
  <c r="J598" i="1"/>
  <c r="K598" i="1"/>
  <c r="N598" i="1"/>
  <c r="O598" i="1"/>
  <c r="J599" i="1"/>
  <c r="K599" i="1"/>
  <c r="N599" i="1"/>
  <c r="O599" i="1"/>
  <c r="J600" i="1"/>
  <c r="K600" i="1"/>
  <c r="N600" i="1"/>
  <c r="O600" i="1"/>
  <c r="J601" i="1"/>
  <c r="K601" i="1"/>
  <c r="N601" i="1"/>
  <c r="O601" i="1"/>
  <c r="J602" i="1"/>
  <c r="K602" i="1"/>
  <c r="N602" i="1"/>
  <c r="O602" i="1"/>
  <c r="J603" i="1"/>
  <c r="K603" i="1"/>
  <c r="N603" i="1"/>
  <c r="O603" i="1"/>
  <c r="J604" i="1"/>
  <c r="K604" i="1"/>
  <c r="N604" i="1"/>
  <c r="O604" i="1"/>
  <c r="J605" i="1"/>
  <c r="K605" i="1"/>
  <c r="N605" i="1"/>
  <c r="O605" i="1"/>
  <c r="J606" i="1"/>
  <c r="K606" i="1"/>
  <c r="N606" i="1"/>
  <c r="O606" i="1"/>
  <c r="J607" i="1"/>
  <c r="K607" i="1"/>
  <c r="N607" i="1"/>
  <c r="O607" i="1"/>
  <c r="J608" i="1"/>
  <c r="K608" i="1"/>
  <c r="N608" i="1"/>
  <c r="O608" i="1"/>
  <c r="J609" i="1"/>
  <c r="K609" i="1"/>
  <c r="N609" i="1"/>
  <c r="O609" i="1"/>
  <c r="J610" i="1"/>
  <c r="K610" i="1"/>
  <c r="N610" i="1"/>
  <c r="O610" i="1"/>
  <c r="J611" i="1"/>
  <c r="K611" i="1"/>
  <c r="N611" i="1"/>
  <c r="O611" i="1"/>
  <c r="J612" i="1"/>
  <c r="K612" i="1"/>
  <c r="N612" i="1"/>
  <c r="O612" i="1"/>
  <c r="J613" i="1"/>
  <c r="K613" i="1"/>
  <c r="N613" i="1"/>
  <c r="O613" i="1"/>
  <c r="J614" i="1"/>
  <c r="A32" i="2" s="1"/>
  <c r="K614" i="1"/>
  <c r="L614" i="1" s="1"/>
  <c r="M614" i="1" s="1"/>
  <c r="B32" i="2" s="1"/>
  <c r="C32" i="2" s="1"/>
  <c r="N614" i="1"/>
  <c r="O614" i="1"/>
  <c r="J615" i="1"/>
  <c r="K615" i="1"/>
  <c r="N615" i="1"/>
  <c r="O615" i="1"/>
  <c r="J616" i="1"/>
  <c r="K616" i="1"/>
  <c r="N616" i="1"/>
  <c r="O616" i="1"/>
  <c r="J617" i="1"/>
  <c r="K617" i="1"/>
  <c r="N617" i="1"/>
  <c r="O617" i="1"/>
  <c r="J618" i="1"/>
  <c r="K618" i="1"/>
  <c r="N618" i="1"/>
  <c r="O618" i="1"/>
  <c r="J619" i="1"/>
  <c r="K619" i="1"/>
  <c r="N619" i="1"/>
  <c r="O619" i="1"/>
  <c r="J620" i="1"/>
  <c r="K620" i="1"/>
  <c r="N620" i="1"/>
  <c r="O620" i="1"/>
  <c r="J624" i="1"/>
  <c r="K624" i="1"/>
  <c r="N624" i="1"/>
  <c r="O624" i="1"/>
  <c r="J625" i="1"/>
  <c r="K625" i="1"/>
  <c r="N625" i="1"/>
  <c r="O625" i="1"/>
  <c r="J626" i="1"/>
  <c r="K626" i="1"/>
  <c r="N626" i="1"/>
  <c r="O626" i="1"/>
  <c r="J627" i="1"/>
  <c r="K627" i="1"/>
  <c r="N627" i="1"/>
  <c r="O627" i="1"/>
  <c r="J628" i="1"/>
  <c r="K628" i="1"/>
  <c r="N628" i="1"/>
  <c r="O628" i="1"/>
  <c r="J629" i="1"/>
  <c r="K629" i="1"/>
  <c r="N629" i="1"/>
  <c r="O629" i="1"/>
  <c r="J630" i="1"/>
  <c r="K630" i="1"/>
  <c r="N630" i="1"/>
  <c r="O630" i="1"/>
  <c r="J631" i="1"/>
  <c r="K631" i="1"/>
  <c r="N631" i="1"/>
  <c r="O631" i="1"/>
  <c r="J632" i="1"/>
  <c r="K632" i="1"/>
  <c r="N632" i="1"/>
  <c r="O632" i="1"/>
  <c r="J633" i="1"/>
  <c r="K633" i="1"/>
  <c r="N633" i="1"/>
  <c r="O633" i="1"/>
  <c r="J634" i="1"/>
  <c r="K634" i="1"/>
  <c r="N634" i="1"/>
  <c r="O634" i="1"/>
  <c r="J635" i="1"/>
  <c r="K635" i="1"/>
  <c r="N635" i="1"/>
  <c r="O635" i="1"/>
  <c r="J636" i="1"/>
  <c r="K636" i="1"/>
  <c r="N636" i="1"/>
  <c r="O636" i="1"/>
  <c r="J640" i="1"/>
  <c r="K640" i="1"/>
  <c r="N640" i="1"/>
  <c r="O640" i="1"/>
  <c r="J641" i="1"/>
  <c r="K641" i="1"/>
  <c r="N641" i="1"/>
  <c r="O641" i="1"/>
  <c r="J642" i="1"/>
  <c r="K642" i="1"/>
  <c r="N642" i="1"/>
  <c r="O642" i="1"/>
  <c r="J643" i="1"/>
  <c r="K643" i="1"/>
  <c r="N643" i="1"/>
  <c r="O643" i="1"/>
  <c r="J644" i="1"/>
  <c r="K644" i="1"/>
  <c r="N644" i="1"/>
  <c r="O644" i="1"/>
  <c r="J645" i="1"/>
  <c r="K645" i="1"/>
  <c r="N645" i="1"/>
  <c r="O645" i="1"/>
  <c r="J646" i="1"/>
  <c r="K646" i="1"/>
  <c r="N646" i="1"/>
  <c r="O646" i="1"/>
  <c r="J647" i="1"/>
  <c r="K647" i="1"/>
  <c r="N647" i="1"/>
  <c r="O647" i="1"/>
  <c r="J648" i="1"/>
  <c r="K648" i="1"/>
  <c r="N648" i="1"/>
  <c r="O648" i="1"/>
  <c r="J649" i="1"/>
  <c r="K649" i="1"/>
  <c r="N649" i="1"/>
  <c r="O649" i="1"/>
  <c r="J653" i="1"/>
  <c r="K653" i="1"/>
  <c r="N653" i="1"/>
  <c r="O653" i="1"/>
  <c r="J654" i="1"/>
  <c r="K654" i="1"/>
  <c r="N654" i="1"/>
  <c r="O654" i="1"/>
  <c r="J655" i="1"/>
  <c r="K655" i="1"/>
  <c r="N655" i="1"/>
  <c r="O655" i="1"/>
  <c r="J656" i="1"/>
  <c r="K656" i="1"/>
  <c r="N656" i="1"/>
  <c r="O656" i="1"/>
  <c r="J657" i="1"/>
  <c r="K657" i="1"/>
  <c r="N657" i="1"/>
  <c r="O657" i="1"/>
  <c r="J658" i="1"/>
  <c r="K658" i="1"/>
  <c r="N658" i="1"/>
  <c r="O658" i="1"/>
  <c r="J659" i="1"/>
  <c r="K659" i="1"/>
  <c r="N659" i="1"/>
  <c r="O659" i="1"/>
  <c r="J660" i="1"/>
  <c r="K660" i="1"/>
  <c r="N660" i="1"/>
  <c r="O660" i="1"/>
  <c r="J661" i="1"/>
  <c r="K661" i="1"/>
  <c r="N661" i="1"/>
  <c r="O661" i="1"/>
  <c r="J662" i="1"/>
  <c r="K662" i="1"/>
  <c r="N662" i="1"/>
  <c r="O662" i="1"/>
  <c r="J663" i="1"/>
  <c r="K663" i="1"/>
  <c r="N663" i="1"/>
  <c r="O663" i="1"/>
  <c r="J664" i="1"/>
  <c r="K664" i="1"/>
  <c r="N664" i="1"/>
  <c r="O664" i="1"/>
  <c r="J665" i="1"/>
  <c r="K665" i="1"/>
  <c r="N665" i="1"/>
  <c r="O665" i="1"/>
  <c r="J666" i="1"/>
  <c r="K666" i="1"/>
  <c r="N666" i="1"/>
  <c r="O666" i="1"/>
  <c r="J667" i="1"/>
  <c r="K667" i="1"/>
  <c r="N667" i="1"/>
  <c r="O667" i="1"/>
  <c r="J668" i="1"/>
  <c r="K668" i="1"/>
  <c r="N668" i="1"/>
  <c r="O668" i="1"/>
  <c r="J669" i="1"/>
  <c r="K669" i="1"/>
  <c r="N669" i="1"/>
  <c r="O669" i="1"/>
  <c r="J670" i="1"/>
  <c r="K670" i="1"/>
  <c r="N670" i="1"/>
  <c r="O670" i="1"/>
  <c r="J674" i="1"/>
  <c r="K674" i="1"/>
  <c r="N674" i="1"/>
  <c r="O674" i="1"/>
  <c r="J675" i="1"/>
  <c r="K675" i="1"/>
  <c r="L675" i="1" s="1"/>
  <c r="M675" i="1" s="1"/>
  <c r="B37" i="2" s="1"/>
  <c r="C37" i="2" s="1"/>
  <c r="N675" i="1"/>
  <c r="O675" i="1"/>
  <c r="J676" i="1"/>
  <c r="K676" i="1"/>
  <c r="N676" i="1"/>
  <c r="O676" i="1"/>
  <c r="J677" i="1"/>
  <c r="K677" i="1"/>
  <c r="N677" i="1"/>
  <c r="O677" i="1"/>
  <c r="J678" i="1"/>
  <c r="K678" i="1"/>
  <c r="N678" i="1"/>
  <c r="O678" i="1"/>
  <c r="J679" i="1"/>
  <c r="K679" i="1"/>
  <c r="N679" i="1"/>
  <c r="O679" i="1"/>
  <c r="J680" i="1"/>
  <c r="K680" i="1"/>
  <c r="N680" i="1"/>
  <c r="O680" i="1"/>
  <c r="J681" i="1"/>
  <c r="K681" i="1"/>
  <c r="N681" i="1"/>
  <c r="O681" i="1"/>
  <c r="J682" i="1"/>
  <c r="K682" i="1"/>
  <c r="N682" i="1"/>
  <c r="O682" i="1"/>
  <c r="J683" i="1"/>
  <c r="K683" i="1"/>
  <c r="N683" i="1"/>
  <c r="O683" i="1"/>
  <c r="J684" i="1"/>
  <c r="K684" i="1"/>
  <c r="N684" i="1"/>
  <c r="O684" i="1"/>
  <c r="J685" i="1"/>
  <c r="K685" i="1"/>
  <c r="N685" i="1"/>
  <c r="O685" i="1"/>
  <c r="J686" i="1"/>
  <c r="K686" i="1"/>
  <c r="N686" i="1"/>
  <c r="O686" i="1"/>
  <c r="J687" i="1"/>
  <c r="K687" i="1"/>
  <c r="N687" i="1"/>
  <c r="O687" i="1"/>
  <c r="J688" i="1"/>
  <c r="K688" i="1"/>
  <c r="N688" i="1"/>
  <c r="O688" i="1"/>
  <c r="J689" i="1"/>
  <c r="K689" i="1"/>
  <c r="N689" i="1"/>
  <c r="O689" i="1"/>
  <c r="J690" i="1"/>
  <c r="K690" i="1"/>
  <c r="N690" i="1"/>
  <c r="O690" i="1"/>
  <c r="J691" i="1"/>
  <c r="K691" i="1"/>
  <c r="N691" i="1"/>
  <c r="O691" i="1"/>
  <c r="J692" i="1"/>
  <c r="K692" i="1"/>
  <c r="N692" i="1"/>
  <c r="O692" i="1"/>
  <c r="J693" i="1"/>
  <c r="K693" i="1"/>
  <c r="N693" i="1"/>
  <c r="O693" i="1"/>
  <c r="J694" i="1"/>
  <c r="K694" i="1"/>
  <c r="N694" i="1"/>
  <c r="O694" i="1"/>
  <c r="J695" i="1"/>
  <c r="K695" i="1"/>
  <c r="N695" i="1"/>
  <c r="O695" i="1"/>
  <c r="J696" i="1"/>
  <c r="K696" i="1"/>
  <c r="N696" i="1"/>
  <c r="O696" i="1"/>
  <c r="J697" i="1"/>
  <c r="K697" i="1"/>
  <c r="N697" i="1"/>
  <c r="O697" i="1"/>
  <c r="J698" i="1"/>
  <c r="K698" i="1"/>
  <c r="N698" i="1"/>
  <c r="O698" i="1"/>
  <c r="J699" i="1"/>
  <c r="K699" i="1"/>
  <c r="N699" i="1"/>
  <c r="O699" i="1"/>
  <c r="J700" i="1"/>
  <c r="K700" i="1"/>
  <c r="N700" i="1"/>
  <c r="O700" i="1"/>
  <c r="J701" i="1"/>
  <c r="K701" i="1"/>
  <c r="N701" i="1"/>
  <c r="O701" i="1"/>
  <c r="J702" i="1"/>
  <c r="K702" i="1"/>
  <c r="N702" i="1"/>
  <c r="O702" i="1"/>
  <c r="J703" i="1"/>
  <c r="K703" i="1"/>
  <c r="N703" i="1"/>
  <c r="O703" i="1"/>
  <c r="J704" i="1"/>
  <c r="K704" i="1"/>
  <c r="N704" i="1"/>
  <c r="O704" i="1"/>
  <c r="J705" i="1"/>
  <c r="K705" i="1"/>
  <c r="N705" i="1"/>
  <c r="O705" i="1"/>
  <c r="J706" i="1"/>
  <c r="K706" i="1"/>
  <c r="N706" i="1"/>
  <c r="O706" i="1"/>
  <c r="J707" i="1"/>
  <c r="K707" i="1"/>
  <c r="N707" i="1"/>
  <c r="O707" i="1"/>
  <c r="J711" i="1"/>
  <c r="K711" i="1"/>
  <c r="N711" i="1"/>
  <c r="O711" i="1"/>
  <c r="J712" i="1"/>
  <c r="K712" i="1"/>
  <c r="N712" i="1"/>
  <c r="O712" i="1"/>
  <c r="J713" i="1"/>
  <c r="K713" i="1"/>
  <c r="N713" i="1"/>
  <c r="O713" i="1"/>
  <c r="J714" i="1"/>
  <c r="K714" i="1"/>
  <c r="N714" i="1"/>
  <c r="O714" i="1"/>
  <c r="J715" i="1"/>
  <c r="K715" i="1"/>
  <c r="N715" i="1"/>
  <c r="O715" i="1"/>
  <c r="J716" i="1"/>
  <c r="K716" i="1"/>
  <c r="N716" i="1"/>
  <c r="O716" i="1"/>
  <c r="J717" i="1"/>
  <c r="K717" i="1"/>
  <c r="N717" i="1"/>
  <c r="O717" i="1"/>
  <c r="J718" i="1"/>
  <c r="K718" i="1"/>
  <c r="N718" i="1"/>
  <c r="O718" i="1"/>
  <c r="J719" i="1"/>
  <c r="K719" i="1"/>
  <c r="N719" i="1"/>
  <c r="O719" i="1"/>
  <c r="J720" i="1"/>
  <c r="K720" i="1"/>
  <c r="N720" i="1"/>
  <c r="O720" i="1"/>
  <c r="J721" i="1"/>
  <c r="K721" i="1"/>
  <c r="N721" i="1"/>
  <c r="O721" i="1"/>
  <c r="J722" i="1"/>
  <c r="K722" i="1"/>
  <c r="N722" i="1"/>
  <c r="O722" i="1"/>
  <c r="J723" i="1"/>
  <c r="K723" i="1"/>
  <c r="N723" i="1"/>
  <c r="O723" i="1"/>
  <c r="J724" i="1"/>
  <c r="K724" i="1"/>
  <c r="N724" i="1"/>
  <c r="O724" i="1"/>
  <c r="J725" i="1"/>
  <c r="K725" i="1"/>
  <c r="N725" i="1"/>
  <c r="O725" i="1"/>
  <c r="J726" i="1"/>
  <c r="K726" i="1"/>
  <c r="N726" i="1"/>
  <c r="O726" i="1"/>
  <c r="J727" i="1"/>
  <c r="K727" i="1"/>
  <c r="N727" i="1"/>
  <c r="O727" i="1"/>
  <c r="J728" i="1"/>
  <c r="K728" i="1"/>
  <c r="N728" i="1"/>
  <c r="O728" i="1"/>
  <c r="J729" i="1"/>
  <c r="K729" i="1"/>
  <c r="N729" i="1"/>
  <c r="O729" i="1"/>
  <c r="J730" i="1"/>
  <c r="K730" i="1"/>
  <c r="N730" i="1"/>
  <c r="O730" i="1"/>
  <c r="J731" i="1"/>
  <c r="K731" i="1"/>
  <c r="N731" i="1"/>
  <c r="O731" i="1"/>
  <c r="J732" i="1"/>
  <c r="K732" i="1"/>
  <c r="N732" i="1"/>
  <c r="O732" i="1"/>
  <c r="J733" i="1"/>
  <c r="K733" i="1"/>
  <c r="N733" i="1"/>
  <c r="O733" i="1"/>
  <c r="J734" i="1"/>
  <c r="K734" i="1"/>
  <c r="N734" i="1"/>
  <c r="O734" i="1"/>
  <c r="J735" i="1"/>
  <c r="K735" i="1"/>
  <c r="N735" i="1"/>
  <c r="O735" i="1"/>
  <c r="J736" i="1"/>
  <c r="K736" i="1"/>
  <c r="N736" i="1"/>
  <c r="O736" i="1"/>
  <c r="J737" i="1"/>
  <c r="K737" i="1"/>
  <c r="N737" i="1"/>
  <c r="O737" i="1"/>
  <c r="J738" i="1"/>
  <c r="K738" i="1"/>
  <c r="N738" i="1"/>
  <c r="O738" i="1"/>
  <c r="J742" i="1"/>
  <c r="K742" i="1"/>
  <c r="N742" i="1"/>
  <c r="O742" i="1"/>
  <c r="J743" i="1"/>
  <c r="K743" i="1"/>
  <c r="N743" i="1"/>
  <c r="O743" i="1"/>
  <c r="J744" i="1"/>
  <c r="K744" i="1"/>
  <c r="N744" i="1"/>
  <c r="O744" i="1"/>
  <c r="J745" i="1"/>
  <c r="K745" i="1"/>
  <c r="N745" i="1"/>
  <c r="O745" i="1"/>
  <c r="J746" i="1"/>
  <c r="K746" i="1"/>
  <c r="N746" i="1"/>
  <c r="O746" i="1"/>
  <c r="J747" i="1"/>
  <c r="K747" i="1"/>
  <c r="N747" i="1"/>
  <c r="O747" i="1"/>
  <c r="J748" i="1"/>
  <c r="K748" i="1"/>
  <c r="N748" i="1"/>
  <c r="O748" i="1"/>
  <c r="J749" i="1"/>
  <c r="K749" i="1"/>
  <c r="N749" i="1"/>
  <c r="O749" i="1"/>
  <c r="J750" i="1"/>
  <c r="K750" i="1"/>
  <c r="N750" i="1"/>
  <c r="O750" i="1"/>
  <c r="J751" i="1"/>
  <c r="K751" i="1"/>
  <c r="N751" i="1"/>
  <c r="O751" i="1"/>
  <c r="J752" i="1"/>
  <c r="K752" i="1"/>
  <c r="N752" i="1"/>
  <c r="O752" i="1"/>
  <c r="J753" i="1"/>
  <c r="K753" i="1"/>
  <c r="N753" i="1"/>
  <c r="O753" i="1"/>
  <c r="J754" i="1"/>
  <c r="K754" i="1"/>
  <c r="N754" i="1"/>
  <c r="O754" i="1"/>
  <c r="J755" i="1"/>
  <c r="K755" i="1"/>
  <c r="N755" i="1"/>
  <c r="O755" i="1"/>
  <c r="J756" i="1"/>
  <c r="K756" i="1"/>
  <c r="N756" i="1"/>
  <c r="O756" i="1"/>
  <c r="J760" i="1"/>
  <c r="K760" i="1"/>
  <c r="N760" i="1"/>
  <c r="O760" i="1"/>
  <c r="J761" i="1"/>
  <c r="K761" i="1"/>
  <c r="N761" i="1"/>
  <c r="O761" i="1"/>
  <c r="J762" i="1"/>
  <c r="K762" i="1"/>
  <c r="N762" i="1"/>
  <c r="O762" i="1"/>
  <c r="J763" i="1"/>
  <c r="K763" i="1"/>
  <c r="N763" i="1"/>
  <c r="O763" i="1"/>
  <c r="J764" i="1"/>
  <c r="K764" i="1"/>
  <c r="N764" i="1"/>
  <c r="O764" i="1"/>
  <c r="J765" i="1"/>
  <c r="A40" i="2" s="1"/>
  <c r="K765" i="1"/>
  <c r="L765" i="1" s="1"/>
  <c r="M765" i="1" s="1"/>
  <c r="B40" i="2" s="1"/>
  <c r="C40" i="2" s="1"/>
  <c r="N765" i="1"/>
  <c r="O765" i="1"/>
  <c r="J766" i="1"/>
  <c r="K766" i="1"/>
  <c r="N766" i="1"/>
  <c r="O766" i="1"/>
  <c r="J767" i="1"/>
  <c r="K767" i="1"/>
  <c r="N767" i="1"/>
  <c r="O767" i="1"/>
  <c r="J768" i="1"/>
  <c r="K768" i="1"/>
  <c r="N768" i="1"/>
  <c r="O768" i="1"/>
  <c r="J769" i="1"/>
  <c r="K769" i="1"/>
  <c r="N769" i="1"/>
  <c r="O769" i="1"/>
  <c r="J770" i="1"/>
  <c r="K770" i="1"/>
  <c r="N770" i="1"/>
  <c r="O770" i="1"/>
  <c r="J771" i="1"/>
  <c r="K771" i="1"/>
  <c r="N771" i="1"/>
  <c r="O771" i="1"/>
  <c r="J772" i="1"/>
  <c r="K772" i="1"/>
  <c r="N772" i="1"/>
  <c r="O772" i="1"/>
  <c r="J773" i="1"/>
  <c r="K773" i="1"/>
  <c r="N773" i="1"/>
  <c r="O773" i="1"/>
  <c r="J774" i="1"/>
  <c r="K774" i="1"/>
  <c r="N774" i="1"/>
  <c r="O774" i="1"/>
  <c r="J775" i="1"/>
  <c r="A41" i="2" s="1"/>
  <c r="K775" i="1"/>
  <c r="L775" i="1" s="1"/>
  <c r="M775" i="1" s="1"/>
  <c r="B41" i="2" s="1"/>
  <c r="C41" i="2" s="1"/>
  <c r="N775" i="1"/>
  <c r="O775" i="1"/>
  <c r="J776" i="1"/>
  <c r="K776" i="1"/>
  <c r="N776" i="1"/>
  <c r="O776" i="1"/>
  <c r="J777" i="1"/>
  <c r="K777" i="1"/>
  <c r="N777" i="1"/>
  <c r="O777" i="1"/>
  <c r="J778" i="1"/>
  <c r="K778" i="1"/>
  <c r="N778" i="1"/>
  <c r="O778" i="1"/>
  <c r="J779" i="1"/>
  <c r="K779" i="1"/>
  <c r="N779" i="1"/>
  <c r="O779" i="1"/>
  <c r="J780" i="1"/>
  <c r="K780" i="1"/>
  <c r="N780" i="1"/>
  <c r="O780" i="1"/>
  <c r="J784" i="1"/>
  <c r="K784" i="1"/>
  <c r="N784" i="1"/>
  <c r="O784" i="1"/>
  <c r="J785" i="1"/>
  <c r="K785" i="1"/>
  <c r="N785" i="1"/>
  <c r="O785" i="1"/>
  <c r="J786" i="1"/>
  <c r="K786" i="1"/>
  <c r="N786" i="1"/>
  <c r="O786" i="1"/>
  <c r="J787" i="1"/>
  <c r="K787" i="1"/>
  <c r="N787" i="1"/>
  <c r="O787" i="1"/>
  <c r="J788" i="1"/>
  <c r="K788" i="1"/>
  <c r="N788" i="1"/>
  <c r="O788" i="1"/>
  <c r="J789" i="1"/>
  <c r="K789" i="1"/>
  <c r="N789" i="1"/>
  <c r="O789" i="1"/>
  <c r="J790" i="1"/>
  <c r="K790" i="1"/>
  <c r="N790" i="1"/>
  <c r="O790" i="1"/>
  <c r="J791" i="1"/>
  <c r="K791" i="1"/>
  <c r="N791" i="1"/>
  <c r="O791" i="1"/>
  <c r="J792" i="1"/>
  <c r="K792" i="1"/>
  <c r="N792" i="1"/>
  <c r="O792" i="1"/>
  <c r="J793" i="1"/>
  <c r="K793" i="1"/>
  <c r="N793" i="1"/>
  <c r="O793" i="1"/>
  <c r="J794" i="1"/>
  <c r="K794" i="1"/>
  <c r="N794" i="1"/>
  <c r="O794" i="1"/>
  <c r="J795" i="1"/>
  <c r="K795" i="1"/>
  <c r="N795" i="1"/>
  <c r="O795" i="1"/>
  <c r="J796" i="1"/>
  <c r="K796" i="1"/>
  <c r="N796" i="1"/>
  <c r="O796" i="1"/>
  <c r="J797" i="1"/>
  <c r="K797" i="1"/>
  <c r="N797" i="1"/>
  <c r="O797" i="1"/>
  <c r="J798" i="1"/>
  <c r="K798" i="1"/>
  <c r="N798" i="1"/>
  <c r="O798" i="1"/>
  <c r="J799" i="1"/>
  <c r="K799" i="1"/>
  <c r="N799" i="1"/>
  <c r="O799" i="1"/>
  <c r="J800" i="1"/>
  <c r="K800" i="1"/>
  <c r="N800" i="1"/>
  <c r="O800" i="1"/>
  <c r="J801" i="1"/>
  <c r="K801" i="1"/>
  <c r="N801" i="1"/>
  <c r="O801" i="1"/>
  <c r="J802" i="1"/>
  <c r="K802" i="1"/>
  <c r="N802" i="1"/>
  <c r="O802" i="1"/>
  <c r="J803" i="1"/>
  <c r="K803" i="1"/>
  <c r="N803" i="1"/>
  <c r="O803" i="1"/>
  <c r="J804" i="1"/>
  <c r="K804" i="1"/>
  <c r="N804" i="1"/>
  <c r="O804" i="1"/>
  <c r="J805" i="1"/>
  <c r="K805" i="1"/>
  <c r="N805" i="1"/>
  <c r="O805" i="1"/>
  <c r="J806" i="1"/>
  <c r="K806" i="1"/>
  <c r="N806" i="1"/>
  <c r="O806" i="1"/>
  <c r="J807" i="1"/>
  <c r="K807" i="1"/>
  <c r="N807" i="1"/>
  <c r="O807" i="1"/>
  <c r="J808" i="1"/>
  <c r="K808" i="1"/>
  <c r="N808" i="1"/>
  <c r="O808" i="1"/>
  <c r="J809" i="1"/>
  <c r="K809" i="1"/>
  <c r="N809" i="1"/>
  <c r="O809" i="1"/>
  <c r="J813" i="1"/>
  <c r="K813" i="1"/>
  <c r="N813" i="1"/>
  <c r="O813" i="1"/>
  <c r="J814" i="1"/>
  <c r="K814" i="1"/>
  <c r="N814" i="1"/>
  <c r="O814" i="1"/>
  <c r="J815" i="1"/>
  <c r="K815" i="1"/>
  <c r="N815" i="1"/>
  <c r="O815" i="1"/>
  <c r="J816" i="1"/>
  <c r="K816" i="1"/>
  <c r="N816" i="1"/>
  <c r="O816" i="1"/>
  <c r="J817" i="1"/>
  <c r="K817" i="1"/>
  <c r="N817" i="1"/>
  <c r="O817" i="1"/>
  <c r="J818" i="1"/>
  <c r="K818" i="1"/>
  <c r="N818" i="1"/>
  <c r="O818" i="1"/>
  <c r="J819" i="1"/>
  <c r="K819" i="1"/>
  <c r="N819" i="1"/>
  <c r="O819" i="1"/>
  <c r="J820" i="1"/>
  <c r="K820" i="1"/>
  <c r="N820" i="1"/>
  <c r="O820" i="1"/>
  <c r="J821" i="1"/>
  <c r="K821" i="1"/>
  <c r="N821" i="1"/>
  <c r="O821" i="1"/>
  <c r="J822" i="1"/>
  <c r="K822" i="1"/>
  <c r="N822" i="1"/>
  <c r="O822" i="1"/>
  <c r="J823" i="1"/>
  <c r="K823" i="1"/>
  <c r="N823" i="1"/>
  <c r="O823" i="1"/>
  <c r="J824" i="1"/>
  <c r="K824" i="1"/>
  <c r="N824" i="1"/>
  <c r="O824" i="1"/>
  <c r="J825" i="1"/>
  <c r="K825" i="1"/>
  <c r="N825" i="1"/>
  <c r="O825" i="1"/>
  <c r="J826" i="1"/>
  <c r="K826" i="1"/>
  <c r="N826" i="1"/>
  <c r="O826" i="1"/>
  <c r="J827" i="1"/>
  <c r="K827" i="1"/>
  <c r="N827" i="1"/>
  <c r="O827" i="1"/>
  <c r="J828" i="1"/>
  <c r="K828" i="1"/>
  <c r="N828" i="1"/>
  <c r="O828" i="1"/>
  <c r="J829" i="1"/>
  <c r="K829" i="1"/>
  <c r="N829" i="1"/>
  <c r="O829" i="1"/>
  <c r="J830" i="1"/>
  <c r="K830" i="1"/>
  <c r="N830" i="1"/>
  <c r="O830" i="1"/>
  <c r="J831" i="1"/>
  <c r="K831" i="1"/>
  <c r="N831" i="1"/>
  <c r="O831" i="1"/>
  <c r="J832" i="1"/>
  <c r="K832" i="1"/>
  <c r="N832" i="1"/>
  <c r="O832" i="1"/>
  <c r="J833" i="1"/>
  <c r="K833" i="1"/>
  <c r="N833" i="1"/>
  <c r="O833" i="1"/>
  <c r="J834" i="1"/>
  <c r="K834" i="1"/>
  <c r="N834" i="1"/>
  <c r="O834" i="1"/>
  <c r="J835" i="1"/>
  <c r="K835" i="1"/>
  <c r="N835" i="1"/>
  <c r="O835" i="1"/>
  <c r="J836" i="1"/>
  <c r="K836" i="1"/>
  <c r="N836" i="1"/>
  <c r="O836" i="1"/>
  <c r="J837" i="1"/>
  <c r="K837" i="1"/>
  <c r="N837" i="1"/>
  <c r="O837" i="1"/>
  <c r="J838" i="1"/>
  <c r="K838" i="1"/>
  <c r="N838" i="1"/>
  <c r="O838" i="1"/>
  <c r="J839" i="1"/>
  <c r="K839" i="1"/>
  <c r="N839" i="1"/>
  <c r="O839" i="1"/>
  <c r="J843" i="1"/>
  <c r="K843" i="1"/>
  <c r="N843" i="1"/>
  <c r="O843" i="1"/>
  <c r="J844" i="1"/>
  <c r="K844" i="1"/>
  <c r="N844" i="1"/>
  <c r="O844" i="1"/>
  <c r="J845" i="1"/>
  <c r="K845" i="1"/>
  <c r="N845" i="1"/>
  <c r="O845" i="1"/>
  <c r="J846" i="1"/>
  <c r="K846" i="1"/>
  <c r="N846" i="1"/>
  <c r="O846" i="1"/>
  <c r="J847" i="1"/>
  <c r="K847" i="1"/>
  <c r="N847" i="1"/>
  <c r="O847" i="1"/>
  <c r="J848" i="1"/>
  <c r="K848" i="1"/>
  <c r="N848" i="1"/>
  <c r="O848" i="1"/>
  <c r="J849" i="1"/>
  <c r="K849" i="1"/>
  <c r="N849" i="1"/>
  <c r="O849" i="1"/>
  <c r="J850" i="1"/>
  <c r="K850" i="1"/>
  <c r="N850" i="1"/>
  <c r="O850" i="1"/>
  <c r="J851" i="1"/>
  <c r="K851" i="1"/>
  <c r="N851" i="1"/>
  <c r="O851" i="1"/>
  <c r="J852" i="1"/>
  <c r="K852" i="1"/>
  <c r="N852" i="1"/>
  <c r="O852" i="1"/>
  <c r="J853" i="1"/>
  <c r="K853" i="1"/>
  <c r="N853" i="1"/>
  <c r="O853" i="1"/>
  <c r="J854" i="1"/>
  <c r="A45" i="2" s="1"/>
  <c r="K854" i="1"/>
  <c r="N854" i="1"/>
  <c r="O854" i="1"/>
  <c r="J855" i="1"/>
  <c r="K855" i="1"/>
  <c r="N855" i="1"/>
  <c r="O855" i="1"/>
  <c r="J856" i="1"/>
  <c r="K856" i="1"/>
  <c r="N856" i="1"/>
  <c r="O856" i="1"/>
  <c r="J857" i="1"/>
  <c r="K857" i="1"/>
  <c r="N857" i="1"/>
  <c r="O857" i="1"/>
  <c r="J858" i="1"/>
  <c r="K858" i="1"/>
  <c r="N858" i="1"/>
  <c r="O858" i="1"/>
  <c r="J859" i="1"/>
  <c r="K859" i="1"/>
  <c r="N859" i="1"/>
  <c r="O859" i="1"/>
  <c r="J860" i="1"/>
  <c r="K860" i="1"/>
  <c r="N860" i="1"/>
  <c r="O860" i="1"/>
  <c r="J861" i="1"/>
  <c r="K861" i="1"/>
  <c r="N861" i="1"/>
  <c r="O861" i="1"/>
  <c r="J862" i="1"/>
  <c r="K862" i="1"/>
  <c r="N862" i="1"/>
  <c r="O862" i="1"/>
  <c r="J863" i="1"/>
  <c r="K863" i="1"/>
  <c r="N863" i="1"/>
  <c r="O863" i="1"/>
  <c r="J867" i="1"/>
  <c r="K867" i="1"/>
  <c r="N867" i="1"/>
  <c r="O867" i="1"/>
  <c r="J868" i="1"/>
  <c r="K868" i="1"/>
  <c r="N868" i="1"/>
  <c r="O868" i="1"/>
  <c r="J869" i="1"/>
  <c r="K869" i="1"/>
  <c r="N869" i="1"/>
  <c r="O869" i="1"/>
  <c r="J870" i="1"/>
  <c r="K870" i="1"/>
  <c r="N870" i="1"/>
  <c r="O870" i="1"/>
  <c r="J871" i="1"/>
  <c r="K871" i="1"/>
  <c r="N871" i="1"/>
  <c r="O871" i="1"/>
  <c r="J872" i="1"/>
  <c r="K872" i="1"/>
  <c r="N872" i="1"/>
  <c r="O872" i="1"/>
  <c r="J873" i="1"/>
  <c r="K873" i="1"/>
  <c r="N873" i="1"/>
  <c r="O873" i="1"/>
  <c r="J874" i="1"/>
  <c r="K874" i="1"/>
  <c r="N874" i="1"/>
  <c r="O874" i="1"/>
  <c r="J875" i="1"/>
  <c r="K875" i="1"/>
  <c r="N875" i="1"/>
  <c r="O875" i="1"/>
  <c r="J876" i="1"/>
  <c r="K876" i="1"/>
  <c r="N876" i="1"/>
  <c r="O876" i="1"/>
  <c r="J877" i="1"/>
  <c r="K877" i="1"/>
  <c r="N877" i="1"/>
  <c r="O877" i="1"/>
  <c r="J881" i="1"/>
  <c r="K881" i="1"/>
  <c r="N881" i="1"/>
  <c r="O881" i="1"/>
  <c r="J882" i="1"/>
  <c r="K882" i="1"/>
  <c r="N882" i="1"/>
  <c r="O882" i="1"/>
  <c r="J883" i="1"/>
  <c r="K883" i="1"/>
  <c r="N883" i="1"/>
  <c r="O883" i="1"/>
  <c r="J884" i="1"/>
  <c r="K884" i="1"/>
  <c r="N884" i="1"/>
  <c r="O884" i="1"/>
  <c r="J885" i="1"/>
  <c r="K885" i="1"/>
  <c r="N885" i="1"/>
  <c r="O885" i="1"/>
  <c r="J886" i="1"/>
  <c r="K886" i="1"/>
  <c r="N886" i="1"/>
  <c r="O886" i="1"/>
  <c r="J887" i="1"/>
  <c r="K887" i="1"/>
  <c r="N887" i="1"/>
  <c r="O887" i="1"/>
  <c r="J888" i="1"/>
  <c r="K888" i="1"/>
  <c r="N888" i="1"/>
  <c r="O888" i="1"/>
  <c r="J889" i="1"/>
  <c r="K889" i="1"/>
  <c r="N889" i="1"/>
  <c r="O889" i="1"/>
  <c r="J890" i="1"/>
  <c r="K890" i="1"/>
  <c r="N890" i="1"/>
  <c r="O890" i="1"/>
  <c r="J894" i="1"/>
  <c r="K894" i="1"/>
  <c r="N894" i="1"/>
  <c r="O894" i="1"/>
  <c r="J895" i="1"/>
  <c r="K895" i="1"/>
  <c r="N895" i="1"/>
  <c r="O895" i="1"/>
  <c r="J896" i="1"/>
  <c r="K896" i="1"/>
  <c r="N896" i="1"/>
  <c r="O896" i="1"/>
  <c r="J897" i="1"/>
  <c r="K897" i="1"/>
  <c r="N897" i="1"/>
  <c r="O897" i="1"/>
  <c r="J898" i="1"/>
  <c r="K898" i="1"/>
  <c r="N898" i="1"/>
  <c r="O898" i="1"/>
  <c r="J899" i="1"/>
  <c r="K899" i="1"/>
  <c r="N899" i="1"/>
  <c r="O899" i="1"/>
  <c r="J900" i="1"/>
  <c r="K900" i="1"/>
  <c r="N900" i="1"/>
  <c r="O900" i="1"/>
  <c r="J901" i="1"/>
  <c r="K901" i="1"/>
  <c r="N901" i="1"/>
  <c r="O901" i="1"/>
  <c r="J902" i="1"/>
  <c r="K902" i="1"/>
  <c r="N902" i="1"/>
  <c r="O902" i="1"/>
  <c r="J903" i="1"/>
  <c r="K903" i="1"/>
  <c r="N903" i="1"/>
  <c r="O903" i="1"/>
  <c r="J904" i="1"/>
  <c r="K904" i="1"/>
  <c r="N904" i="1"/>
  <c r="O904" i="1"/>
  <c r="J905" i="1"/>
  <c r="K905" i="1"/>
  <c r="N905" i="1"/>
  <c r="O905" i="1"/>
  <c r="J906" i="1"/>
  <c r="K906" i="1"/>
  <c r="N906" i="1"/>
  <c r="O906" i="1"/>
  <c r="J907" i="1"/>
  <c r="K907" i="1"/>
  <c r="N907" i="1"/>
  <c r="O907" i="1"/>
  <c r="J908" i="1"/>
  <c r="K908" i="1"/>
  <c r="N908" i="1"/>
  <c r="O908" i="1"/>
  <c r="J909" i="1"/>
  <c r="K909" i="1"/>
  <c r="N909" i="1"/>
  <c r="O909" i="1"/>
  <c r="J910" i="1"/>
  <c r="K910" i="1"/>
  <c r="N910" i="1"/>
  <c r="O910" i="1"/>
  <c r="J911" i="1"/>
  <c r="K911" i="1"/>
  <c r="N911" i="1"/>
  <c r="O911" i="1"/>
  <c r="J912" i="1"/>
  <c r="K912" i="1"/>
  <c r="N912" i="1"/>
  <c r="O912" i="1"/>
  <c r="J913" i="1"/>
  <c r="K913" i="1"/>
  <c r="N913" i="1"/>
  <c r="O913" i="1"/>
  <c r="J914" i="1"/>
  <c r="K914" i="1"/>
  <c r="N914" i="1"/>
  <c r="O914" i="1"/>
  <c r="J915" i="1"/>
  <c r="K915" i="1"/>
  <c r="N915" i="1"/>
  <c r="O915" i="1"/>
  <c r="J916" i="1"/>
  <c r="K916" i="1"/>
  <c r="N916" i="1"/>
  <c r="O916" i="1"/>
  <c r="J917" i="1"/>
  <c r="K917" i="1"/>
  <c r="N917" i="1"/>
  <c r="O917" i="1"/>
  <c r="J918" i="1"/>
  <c r="K918" i="1"/>
  <c r="N918" i="1"/>
  <c r="O918" i="1"/>
  <c r="J919" i="1"/>
  <c r="K919" i="1"/>
  <c r="N919" i="1"/>
  <c r="O919" i="1"/>
  <c r="J923" i="1"/>
  <c r="K923" i="1"/>
  <c r="N923" i="1"/>
  <c r="O923" i="1"/>
  <c r="J924" i="1"/>
  <c r="K924" i="1"/>
  <c r="N924" i="1"/>
  <c r="O924" i="1"/>
  <c r="J925" i="1"/>
  <c r="K925" i="1"/>
  <c r="N925" i="1"/>
  <c r="O925" i="1"/>
  <c r="J926" i="1"/>
  <c r="K926" i="1"/>
  <c r="N926" i="1"/>
  <c r="O926" i="1"/>
  <c r="J927" i="1"/>
  <c r="K927" i="1"/>
  <c r="N927" i="1"/>
  <c r="O927" i="1"/>
  <c r="J928" i="1"/>
  <c r="K928" i="1"/>
  <c r="N928" i="1"/>
  <c r="O928" i="1"/>
  <c r="J929" i="1"/>
  <c r="K929" i="1"/>
  <c r="N929" i="1"/>
  <c r="O929" i="1"/>
  <c r="J930" i="1"/>
  <c r="K930" i="1"/>
  <c r="N930" i="1"/>
  <c r="O930" i="1"/>
  <c r="J931" i="1"/>
  <c r="K931" i="1"/>
  <c r="N931" i="1"/>
  <c r="O931" i="1"/>
  <c r="J932" i="1"/>
  <c r="K932" i="1"/>
  <c r="N932" i="1"/>
  <c r="O932" i="1"/>
  <c r="J933" i="1"/>
  <c r="K933" i="1"/>
  <c r="N933" i="1"/>
  <c r="O933" i="1"/>
  <c r="J934" i="1"/>
  <c r="K934" i="1"/>
  <c r="N934" i="1"/>
  <c r="O934" i="1"/>
  <c r="J935" i="1"/>
  <c r="K935" i="1"/>
  <c r="N935" i="1"/>
  <c r="O935" i="1"/>
  <c r="J936" i="1"/>
  <c r="K936" i="1"/>
  <c r="N936" i="1"/>
  <c r="O936" i="1"/>
  <c r="J937" i="1"/>
  <c r="K937" i="1"/>
  <c r="N937" i="1"/>
  <c r="O937" i="1"/>
  <c r="J938" i="1"/>
  <c r="K938" i="1"/>
  <c r="N938" i="1"/>
  <c r="O938" i="1"/>
  <c r="J939" i="1"/>
  <c r="K939" i="1"/>
  <c r="N939" i="1"/>
  <c r="O939" i="1"/>
  <c r="J940" i="1"/>
  <c r="K940" i="1"/>
  <c r="N940" i="1"/>
  <c r="O940" i="1"/>
  <c r="J941" i="1"/>
  <c r="K941" i="1"/>
  <c r="N941" i="1"/>
  <c r="O941" i="1"/>
  <c r="J942" i="1"/>
  <c r="K942" i="1"/>
  <c r="N942" i="1"/>
  <c r="O942" i="1"/>
  <c r="J943" i="1"/>
  <c r="K943" i="1"/>
  <c r="N943" i="1"/>
  <c r="O943" i="1"/>
  <c r="J944" i="1"/>
  <c r="K944" i="1"/>
  <c r="N944" i="1"/>
  <c r="O944" i="1"/>
  <c r="J945" i="1"/>
  <c r="K945" i="1"/>
  <c r="N945" i="1"/>
  <c r="O945" i="1"/>
  <c r="J946" i="1"/>
  <c r="K946" i="1"/>
  <c r="N946" i="1"/>
  <c r="O946" i="1"/>
  <c r="J947" i="1"/>
  <c r="K947" i="1"/>
  <c r="N947" i="1"/>
  <c r="O947" i="1"/>
  <c r="J948" i="1"/>
  <c r="K948" i="1"/>
  <c r="N948" i="1"/>
  <c r="O948" i="1"/>
  <c r="J949" i="1"/>
  <c r="K949" i="1"/>
  <c r="N949" i="1"/>
  <c r="O949" i="1"/>
  <c r="J950" i="1"/>
  <c r="K950" i="1"/>
  <c r="N950" i="1"/>
  <c r="O950" i="1"/>
  <c r="J951" i="1"/>
  <c r="K951" i="1"/>
  <c r="N951" i="1"/>
  <c r="O951" i="1"/>
  <c r="J952" i="1"/>
  <c r="K952" i="1"/>
  <c r="N952" i="1"/>
  <c r="O952" i="1"/>
  <c r="J953" i="1"/>
  <c r="K953" i="1"/>
  <c r="N953" i="1"/>
  <c r="O953" i="1"/>
  <c r="J954" i="1"/>
  <c r="K954" i="1"/>
  <c r="N954" i="1"/>
  <c r="O954" i="1"/>
  <c r="J955" i="1"/>
  <c r="K955" i="1"/>
  <c r="N955" i="1"/>
  <c r="O955" i="1"/>
  <c r="J959" i="1"/>
  <c r="K959" i="1"/>
  <c r="N959" i="1"/>
  <c r="O959" i="1"/>
  <c r="J960" i="1"/>
  <c r="K960" i="1"/>
  <c r="N960" i="1"/>
  <c r="O960" i="1"/>
  <c r="J961" i="1"/>
  <c r="K961" i="1"/>
  <c r="N961" i="1"/>
  <c r="O961" i="1"/>
  <c r="J962" i="1"/>
  <c r="K962" i="1"/>
  <c r="N962" i="1"/>
  <c r="O962" i="1"/>
  <c r="J963" i="1"/>
  <c r="K963" i="1"/>
  <c r="N963" i="1"/>
  <c r="O963" i="1"/>
  <c r="J964" i="1"/>
  <c r="K964" i="1"/>
  <c r="N964" i="1"/>
  <c r="O964" i="1"/>
  <c r="J965" i="1"/>
  <c r="K965" i="1"/>
  <c r="N965" i="1"/>
  <c r="O965" i="1"/>
  <c r="J966" i="1"/>
  <c r="K966" i="1"/>
  <c r="N966" i="1"/>
  <c r="O966" i="1"/>
  <c r="J967" i="1"/>
  <c r="K967" i="1"/>
  <c r="N967" i="1"/>
  <c r="O967" i="1"/>
  <c r="J968" i="1"/>
  <c r="K968" i="1"/>
  <c r="N968" i="1"/>
  <c r="O968" i="1"/>
  <c r="J969" i="1"/>
  <c r="K969" i="1"/>
  <c r="N969" i="1"/>
  <c r="O969" i="1"/>
  <c r="J970" i="1"/>
  <c r="K970" i="1"/>
  <c r="N970" i="1"/>
  <c r="O970" i="1"/>
  <c r="J971" i="1"/>
  <c r="K971" i="1"/>
  <c r="N971" i="1"/>
  <c r="O971" i="1"/>
  <c r="J972" i="1"/>
  <c r="K972" i="1"/>
  <c r="N972" i="1"/>
  <c r="O972" i="1"/>
  <c r="J973" i="1"/>
  <c r="K973" i="1"/>
  <c r="N973" i="1"/>
  <c r="O973" i="1"/>
  <c r="J974" i="1"/>
  <c r="K974" i="1"/>
  <c r="N974" i="1"/>
  <c r="O974" i="1"/>
  <c r="J975" i="1"/>
  <c r="K975" i="1"/>
  <c r="N975" i="1"/>
  <c r="O975" i="1"/>
  <c r="J976" i="1"/>
  <c r="K976" i="1"/>
  <c r="N976" i="1"/>
  <c r="O976" i="1"/>
  <c r="J977" i="1"/>
  <c r="K977" i="1"/>
  <c r="N977" i="1"/>
  <c r="O977" i="1"/>
  <c r="J978" i="1"/>
  <c r="A52" i="2" s="1"/>
  <c r="K978" i="1"/>
  <c r="L978" i="1" s="1"/>
  <c r="M978" i="1" s="1"/>
  <c r="B52" i="2" s="1"/>
  <c r="C52" i="2" s="1"/>
  <c r="N978" i="1"/>
  <c r="O978" i="1"/>
  <c r="J979" i="1"/>
  <c r="K979" i="1"/>
  <c r="N979" i="1"/>
  <c r="O979" i="1"/>
  <c r="J980" i="1"/>
  <c r="K980" i="1"/>
  <c r="N980" i="1"/>
  <c r="O980" i="1"/>
  <c r="J981" i="1"/>
  <c r="K981" i="1"/>
  <c r="N981" i="1"/>
  <c r="O981" i="1"/>
  <c r="J982" i="1"/>
  <c r="K982" i="1"/>
  <c r="N982" i="1"/>
  <c r="O982" i="1"/>
  <c r="J983" i="1"/>
  <c r="K983" i="1"/>
  <c r="N983" i="1"/>
  <c r="O983" i="1"/>
  <c r="J987" i="1"/>
  <c r="K987" i="1"/>
  <c r="N987" i="1"/>
  <c r="O987" i="1"/>
  <c r="J988" i="1"/>
  <c r="K988" i="1"/>
  <c r="N988" i="1"/>
  <c r="O988" i="1"/>
  <c r="J989" i="1"/>
  <c r="K989" i="1"/>
  <c r="N989" i="1"/>
  <c r="O989" i="1"/>
  <c r="J990" i="1"/>
  <c r="K990" i="1"/>
  <c r="N990" i="1"/>
  <c r="O990" i="1"/>
  <c r="J991" i="1"/>
  <c r="K991" i="1"/>
  <c r="N991" i="1"/>
  <c r="O991" i="1"/>
  <c r="J992" i="1"/>
  <c r="K992" i="1"/>
  <c r="N992" i="1"/>
  <c r="O992" i="1"/>
  <c r="J993" i="1"/>
  <c r="K993" i="1"/>
  <c r="N993" i="1"/>
  <c r="O993" i="1"/>
  <c r="J994" i="1"/>
  <c r="K994" i="1"/>
  <c r="N994" i="1"/>
  <c r="O994" i="1"/>
  <c r="J995" i="1"/>
  <c r="K995" i="1"/>
  <c r="N995" i="1"/>
  <c r="O995" i="1"/>
  <c r="J996" i="1"/>
  <c r="K996" i="1"/>
  <c r="N996" i="1"/>
  <c r="O996" i="1"/>
  <c r="J997" i="1"/>
  <c r="K997" i="1"/>
  <c r="N997" i="1"/>
  <c r="O997" i="1"/>
  <c r="J998" i="1"/>
  <c r="K998" i="1"/>
  <c r="N998" i="1"/>
  <c r="O998" i="1"/>
  <c r="J999" i="1"/>
  <c r="K999" i="1"/>
  <c r="N999" i="1"/>
  <c r="O999" i="1"/>
  <c r="J1003" i="1"/>
  <c r="K1003" i="1"/>
  <c r="N1003" i="1"/>
  <c r="O1003" i="1"/>
  <c r="J1004" i="1"/>
  <c r="K1004" i="1"/>
  <c r="N1004" i="1"/>
  <c r="O1004" i="1"/>
  <c r="J1005" i="1"/>
  <c r="K1005" i="1"/>
  <c r="N1005" i="1"/>
  <c r="O1005" i="1"/>
  <c r="J1006" i="1"/>
  <c r="K1006" i="1"/>
  <c r="N1006" i="1"/>
  <c r="O1006" i="1"/>
  <c r="J1007" i="1"/>
  <c r="K1007" i="1"/>
  <c r="N1007" i="1"/>
  <c r="O1007" i="1"/>
  <c r="J1008" i="1"/>
  <c r="K1008" i="1"/>
  <c r="N1008" i="1"/>
  <c r="O1008" i="1"/>
  <c r="J1009" i="1"/>
  <c r="K1009" i="1"/>
  <c r="N1009" i="1"/>
  <c r="O1009" i="1"/>
  <c r="J1010" i="1"/>
  <c r="K1010" i="1"/>
  <c r="N1010" i="1"/>
  <c r="O1010" i="1"/>
  <c r="J1011" i="1"/>
  <c r="K1011" i="1"/>
  <c r="N1011" i="1"/>
  <c r="O1011" i="1"/>
  <c r="J1012" i="1"/>
  <c r="K1012" i="1"/>
  <c r="N1012" i="1"/>
  <c r="O1012" i="1"/>
  <c r="J1013" i="1"/>
  <c r="K1013" i="1"/>
  <c r="N1013" i="1"/>
  <c r="O1013" i="1"/>
  <c r="J1014" i="1"/>
  <c r="K1014" i="1"/>
  <c r="N1014" i="1"/>
  <c r="O1014" i="1"/>
  <c r="J1015" i="1"/>
  <c r="K1015" i="1"/>
  <c r="N1015" i="1"/>
  <c r="O1015" i="1"/>
  <c r="J1016" i="1"/>
  <c r="K1016" i="1"/>
  <c r="N1016" i="1"/>
  <c r="O1016" i="1"/>
  <c r="J1017" i="1"/>
  <c r="K1017" i="1"/>
  <c r="N1017" i="1"/>
  <c r="O1017" i="1"/>
  <c r="J1018" i="1"/>
  <c r="K1018" i="1"/>
  <c r="N1018" i="1"/>
  <c r="O1018" i="1"/>
  <c r="J1019" i="1"/>
  <c r="K1019" i="1"/>
  <c r="N1019" i="1"/>
  <c r="O1019" i="1"/>
  <c r="J1020" i="1"/>
  <c r="K1020" i="1"/>
  <c r="N1020" i="1"/>
  <c r="O1020" i="1"/>
  <c r="J1024" i="1"/>
  <c r="K1024" i="1"/>
  <c r="N1024" i="1"/>
  <c r="O1024" i="1"/>
  <c r="J1025" i="1"/>
  <c r="K1025" i="1"/>
  <c r="N1025" i="1"/>
  <c r="O1025" i="1"/>
  <c r="J1026" i="1"/>
  <c r="K1026" i="1"/>
  <c r="N1026" i="1"/>
  <c r="O1026" i="1"/>
  <c r="J1027" i="1"/>
  <c r="K1027" i="1"/>
  <c r="N1027" i="1"/>
  <c r="O1027" i="1"/>
  <c r="J1028" i="1"/>
  <c r="K1028" i="1"/>
  <c r="N1028" i="1"/>
  <c r="O1028" i="1"/>
  <c r="J1029" i="1"/>
  <c r="K1029" i="1"/>
  <c r="N1029" i="1"/>
  <c r="O1029" i="1"/>
  <c r="J1030" i="1"/>
  <c r="K1030" i="1"/>
  <c r="N1030" i="1"/>
  <c r="O1030" i="1"/>
  <c r="J1031" i="1"/>
  <c r="K1031" i="1"/>
  <c r="N1031" i="1"/>
  <c r="O1031" i="1"/>
  <c r="J1032" i="1"/>
  <c r="K1032" i="1"/>
  <c r="N1032" i="1"/>
  <c r="O1032" i="1"/>
  <c r="J1033" i="1"/>
  <c r="K1033" i="1"/>
  <c r="N1033" i="1"/>
  <c r="O1033" i="1"/>
  <c r="J1034" i="1"/>
  <c r="K1034" i="1"/>
  <c r="N1034" i="1"/>
  <c r="O1034" i="1"/>
  <c r="J1035" i="1"/>
  <c r="K1035" i="1"/>
  <c r="N1035" i="1"/>
  <c r="O1035" i="1"/>
  <c r="J1036" i="1"/>
  <c r="K1036" i="1"/>
  <c r="N1036" i="1"/>
  <c r="O1036" i="1"/>
  <c r="J1037" i="1"/>
  <c r="K1037" i="1"/>
  <c r="N1037" i="1"/>
  <c r="O1037" i="1"/>
  <c r="J1038" i="1"/>
  <c r="K1038" i="1"/>
  <c r="N1038" i="1"/>
  <c r="O1038" i="1"/>
  <c r="J1039" i="1"/>
  <c r="K1039" i="1"/>
  <c r="N1039" i="1"/>
  <c r="O1039" i="1"/>
  <c r="J1040" i="1"/>
  <c r="K1040" i="1"/>
  <c r="N1040" i="1"/>
  <c r="O1040" i="1"/>
  <c r="J1041" i="1"/>
  <c r="K1041" i="1"/>
  <c r="N1041" i="1"/>
  <c r="O1041" i="1"/>
  <c r="J1042" i="1"/>
  <c r="K1042" i="1"/>
  <c r="N1042" i="1"/>
  <c r="O1042" i="1"/>
  <c r="J1046" i="1"/>
  <c r="K1046" i="1"/>
  <c r="N1046" i="1"/>
  <c r="O1046" i="1"/>
  <c r="J1047" i="1"/>
  <c r="K1047" i="1"/>
  <c r="N1047" i="1"/>
  <c r="O1047" i="1"/>
  <c r="J1048" i="1"/>
  <c r="K1048" i="1"/>
  <c r="N1048" i="1"/>
  <c r="O1048" i="1"/>
  <c r="J1049" i="1"/>
  <c r="K1049" i="1"/>
  <c r="N1049" i="1"/>
  <c r="O1049" i="1"/>
  <c r="J1050" i="1"/>
  <c r="K1050" i="1"/>
  <c r="N1050" i="1"/>
  <c r="O1050" i="1"/>
  <c r="J1051" i="1"/>
  <c r="K1051" i="1"/>
  <c r="N1051" i="1"/>
  <c r="O1051" i="1"/>
  <c r="J1052" i="1"/>
  <c r="K1052" i="1"/>
  <c r="N1052" i="1"/>
  <c r="O1052" i="1"/>
  <c r="J1053" i="1"/>
  <c r="K1053" i="1"/>
  <c r="N1053" i="1"/>
  <c r="O1053" i="1"/>
  <c r="J1054" i="1"/>
  <c r="K1054" i="1"/>
  <c r="N1054" i="1"/>
  <c r="O1054" i="1"/>
  <c r="J1055" i="1"/>
  <c r="K1055" i="1"/>
  <c r="N1055" i="1"/>
  <c r="O1055" i="1"/>
  <c r="J1056" i="1"/>
  <c r="K1056" i="1"/>
  <c r="N1056" i="1"/>
  <c r="O1056" i="1"/>
  <c r="J1057" i="1"/>
  <c r="K1057" i="1"/>
  <c r="N1057" i="1"/>
  <c r="O1057" i="1"/>
  <c r="J1058" i="1"/>
  <c r="K1058" i="1"/>
  <c r="N1058" i="1"/>
  <c r="O1058" i="1"/>
  <c r="J1059" i="1"/>
  <c r="K1059" i="1"/>
  <c r="N1059" i="1"/>
  <c r="O1059" i="1"/>
  <c r="J1060" i="1"/>
  <c r="K1060" i="1"/>
  <c r="N1060" i="1"/>
  <c r="O1060" i="1"/>
  <c r="J1061" i="1"/>
  <c r="K1061" i="1"/>
  <c r="N1061" i="1"/>
  <c r="O1061" i="1"/>
  <c r="J1062" i="1"/>
  <c r="K1062" i="1"/>
  <c r="N1062" i="1"/>
  <c r="O1062" i="1"/>
  <c r="J1063" i="1"/>
  <c r="K1063" i="1"/>
  <c r="N1063" i="1"/>
  <c r="O1063" i="1"/>
  <c r="J1064" i="1"/>
  <c r="K1064" i="1"/>
  <c r="N1064" i="1"/>
  <c r="O1064" i="1"/>
  <c r="J1065" i="1"/>
  <c r="K1065" i="1"/>
  <c r="N1065" i="1"/>
  <c r="O1065" i="1"/>
  <c r="J1066" i="1"/>
  <c r="K1066" i="1"/>
  <c r="N1066" i="1"/>
  <c r="O1066" i="1"/>
  <c r="J1067" i="1"/>
  <c r="K1067" i="1"/>
  <c r="N1067" i="1"/>
  <c r="O1067" i="1"/>
  <c r="J1068" i="1"/>
  <c r="K1068" i="1"/>
  <c r="N1068" i="1"/>
  <c r="O1068" i="1"/>
  <c r="J1069" i="1"/>
  <c r="K1069" i="1"/>
  <c r="N1069" i="1"/>
  <c r="O1069" i="1"/>
  <c r="J1070" i="1"/>
  <c r="K1070" i="1"/>
  <c r="N1070" i="1"/>
  <c r="O1070" i="1"/>
  <c r="J1071" i="1"/>
  <c r="K1071" i="1"/>
  <c r="N1071" i="1"/>
  <c r="O1071" i="1"/>
  <c r="J1075" i="1"/>
  <c r="K1075" i="1"/>
  <c r="N1075" i="1"/>
  <c r="O1075" i="1"/>
  <c r="J1076" i="1"/>
  <c r="K1076" i="1"/>
  <c r="N1076" i="1"/>
  <c r="O1076" i="1"/>
  <c r="J1077" i="1"/>
  <c r="K1077" i="1"/>
  <c r="N1077" i="1"/>
  <c r="O1077" i="1"/>
  <c r="J1078" i="1"/>
  <c r="K1078" i="1"/>
  <c r="N1078" i="1"/>
  <c r="O1078" i="1"/>
  <c r="J1079" i="1"/>
  <c r="K1079" i="1"/>
  <c r="N1079" i="1"/>
  <c r="O1079" i="1"/>
  <c r="J1080" i="1"/>
  <c r="K1080" i="1"/>
  <c r="N1080" i="1"/>
  <c r="O1080" i="1"/>
  <c r="J1081" i="1"/>
  <c r="K1081" i="1"/>
  <c r="N1081" i="1"/>
  <c r="O1081" i="1"/>
  <c r="J1082" i="1"/>
  <c r="K1082" i="1"/>
  <c r="N1082" i="1"/>
  <c r="O1082" i="1"/>
  <c r="J1083" i="1"/>
  <c r="K1083" i="1"/>
  <c r="N1083" i="1"/>
  <c r="O1083" i="1"/>
  <c r="J1084" i="1"/>
  <c r="K1084" i="1"/>
  <c r="N1084" i="1"/>
  <c r="O1084" i="1"/>
  <c r="J1085" i="1"/>
  <c r="K1085" i="1"/>
  <c r="N1085" i="1"/>
  <c r="O1085" i="1"/>
  <c r="J1086" i="1"/>
  <c r="K1086" i="1"/>
  <c r="N1086" i="1"/>
  <c r="O1086" i="1"/>
  <c r="J1087" i="1"/>
  <c r="K1087" i="1"/>
  <c r="N1087" i="1"/>
  <c r="O1087" i="1"/>
  <c r="J1088" i="1"/>
  <c r="K1088" i="1"/>
  <c r="N1088" i="1"/>
  <c r="O1088" i="1"/>
  <c r="J1089" i="1"/>
  <c r="K1089" i="1"/>
  <c r="N1089" i="1"/>
  <c r="O1089" i="1"/>
  <c r="J1090" i="1"/>
  <c r="K1090" i="1"/>
  <c r="N1090" i="1"/>
  <c r="O1090" i="1"/>
  <c r="J1091" i="1"/>
  <c r="K1091" i="1"/>
  <c r="N1091" i="1"/>
  <c r="O1091" i="1"/>
  <c r="J1092" i="1"/>
  <c r="K1092" i="1"/>
  <c r="N1092" i="1"/>
  <c r="O1092" i="1"/>
  <c r="J1093" i="1"/>
  <c r="K1093" i="1"/>
  <c r="N1093" i="1"/>
  <c r="O1093" i="1"/>
  <c r="J1094" i="1"/>
  <c r="K1094" i="1"/>
  <c r="N1094" i="1"/>
  <c r="O1094" i="1"/>
  <c r="J1095" i="1"/>
  <c r="K1095" i="1"/>
  <c r="N1095" i="1"/>
  <c r="O1095" i="1"/>
  <c r="J1096" i="1"/>
  <c r="K1096" i="1"/>
  <c r="N1096" i="1"/>
  <c r="O1096" i="1"/>
  <c r="J1097" i="1"/>
  <c r="K1097" i="1"/>
  <c r="N1097" i="1"/>
  <c r="O1097" i="1"/>
  <c r="J1098" i="1"/>
  <c r="K1098" i="1"/>
  <c r="N1098" i="1"/>
  <c r="O1098" i="1"/>
  <c r="J1099" i="1"/>
  <c r="K1099" i="1"/>
  <c r="N1099" i="1"/>
  <c r="O1099" i="1"/>
  <c r="J1100" i="1"/>
  <c r="K1100" i="1"/>
  <c r="N1100" i="1"/>
  <c r="O1100" i="1"/>
  <c r="J1104" i="1"/>
  <c r="K1104" i="1"/>
  <c r="N1104" i="1"/>
  <c r="O1104" i="1"/>
  <c r="J1105" i="1"/>
  <c r="K1105" i="1"/>
  <c r="N1105" i="1"/>
  <c r="O1105" i="1"/>
  <c r="J1106" i="1"/>
  <c r="K1106" i="1"/>
  <c r="N1106" i="1"/>
  <c r="O1106" i="1"/>
  <c r="J1107" i="1"/>
  <c r="K1107" i="1"/>
  <c r="N1107" i="1"/>
  <c r="O1107" i="1"/>
  <c r="J1111" i="1"/>
  <c r="K1111" i="1"/>
  <c r="N1111" i="1"/>
  <c r="O1111" i="1"/>
  <c r="J1112" i="1"/>
  <c r="K1112" i="1"/>
  <c r="N1112" i="1"/>
  <c r="O1112" i="1"/>
  <c r="J1113" i="1"/>
  <c r="K1113" i="1"/>
  <c r="N1113" i="1"/>
  <c r="O1113" i="1"/>
  <c r="J1114" i="1"/>
  <c r="K1114" i="1"/>
  <c r="N1114" i="1"/>
  <c r="O1114" i="1"/>
  <c r="J1115" i="1"/>
  <c r="K1115" i="1"/>
  <c r="N1115" i="1"/>
  <c r="O1115" i="1"/>
  <c r="J1116" i="1"/>
  <c r="K1116" i="1"/>
  <c r="N1116" i="1"/>
  <c r="O1116" i="1"/>
  <c r="J1117" i="1"/>
  <c r="K1117" i="1"/>
  <c r="N1117" i="1"/>
  <c r="O1117" i="1"/>
  <c r="J1118" i="1"/>
  <c r="K1118" i="1"/>
  <c r="N1118" i="1"/>
  <c r="O1118" i="1"/>
  <c r="J1119" i="1"/>
  <c r="K1119" i="1"/>
  <c r="N1119" i="1"/>
  <c r="O1119" i="1"/>
  <c r="J1120" i="1"/>
  <c r="K1120" i="1"/>
  <c r="N1120" i="1"/>
  <c r="O1120" i="1"/>
  <c r="J1121" i="1"/>
  <c r="K1121" i="1"/>
  <c r="N1121" i="1"/>
  <c r="O1121" i="1"/>
  <c r="J1122" i="1"/>
  <c r="K1122" i="1"/>
  <c r="N1122" i="1"/>
  <c r="O1122" i="1"/>
  <c r="J1126" i="1"/>
  <c r="K1126" i="1"/>
  <c r="N1126" i="1"/>
  <c r="O1126" i="1"/>
  <c r="J1127" i="1"/>
  <c r="K1127" i="1"/>
  <c r="N1127" i="1"/>
  <c r="O1127" i="1"/>
  <c r="J1128" i="1"/>
  <c r="K1128" i="1"/>
  <c r="N1128" i="1"/>
  <c r="O1128" i="1"/>
  <c r="J1129" i="1"/>
  <c r="K1129" i="1"/>
  <c r="N1129" i="1"/>
  <c r="O1129" i="1"/>
  <c r="J1130" i="1"/>
  <c r="K1130" i="1"/>
  <c r="N1130" i="1"/>
  <c r="O1130" i="1"/>
  <c r="J1131" i="1"/>
  <c r="K1131" i="1"/>
  <c r="N1131" i="1"/>
  <c r="O1131" i="1"/>
  <c r="J1132" i="1"/>
  <c r="K1132" i="1"/>
  <c r="N1132" i="1"/>
  <c r="O1132" i="1"/>
  <c r="J1133" i="1"/>
  <c r="K1133" i="1"/>
  <c r="N1133" i="1"/>
  <c r="O1133" i="1"/>
  <c r="J1134" i="1"/>
  <c r="K1134" i="1"/>
  <c r="N1134" i="1"/>
  <c r="O1134" i="1"/>
  <c r="J1135" i="1"/>
  <c r="K1135" i="1"/>
  <c r="N1135" i="1"/>
  <c r="O1135" i="1"/>
  <c r="J1136" i="1"/>
  <c r="K1136" i="1"/>
  <c r="N1136" i="1"/>
  <c r="O1136" i="1"/>
  <c r="J1137" i="1"/>
  <c r="K1137" i="1"/>
  <c r="N1137" i="1"/>
  <c r="O1137" i="1"/>
  <c r="J1138" i="1"/>
  <c r="K1138" i="1"/>
  <c r="N1138" i="1"/>
  <c r="O1138" i="1"/>
  <c r="J1139" i="1"/>
  <c r="K1139" i="1"/>
  <c r="N1139" i="1"/>
  <c r="O1139" i="1"/>
  <c r="J1140" i="1"/>
  <c r="K1140" i="1"/>
  <c r="N1140" i="1"/>
  <c r="O1140" i="1"/>
  <c r="J1141" i="1"/>
  <c r="K1141" i="1"/>
  <c r="N1141" i="1"/>
  <c r="O1141" i="1"/>
  <c r="J1142" i="1"/>
  <c r="K1142" i="1"/>
  <c r="N1142" i="1"/>
  <c r="O1142" i="1"/>
  <c r="J1143" i="1"/>
  <c r="K1143" i="1"/>
  <c r="N1143" i="1"/>
  <c r="O1143" i="1"/>
  <c r="J1147" i="1"/>
  <c r="K1147" i="1"/>
  <c r="N1147" i="1"/>
  <c r="O1147" i="1"/>
  <c r="J1148" i="1"/>
  <c r="K1148" i="1"/>
  <c r="N1148" i="1"/>
  <c r="O1148" i="1"/>
  <c r="J1149" i="1"/>
  <c r="K1149" i="1"/>
  <c r="N1149" i="1"/>
  <c r="O1149" i="1"/>
  <c r="J1150" i="1"/>
  <c r="K1150" i="1"/>
  <c r="N1150" i="1"/>
  <c r="O1150" i="1"/>
  <c r="J1151" i="1"/>
  <c r="K1151" i="1"/>
  <c r="N1151" i="1"/>
  <c r="O1151" i="1"/>
  <c r="J1152" i="1"/>
  <c r="K1152" i="1"/>
  <c r="N1152" i="1"/>
  <c r="O1152" i="1"/>
  <c r="J1153" i="1"/>
  <c r="K1153" i="1"/>
  <c r="N1153" i="1"/>
  <c r="O1153" i="1"/>
  <c r="J1154" i="1"/>
  <c r="K1154" i="1"/>
  <c r="N1154" i="1"/>
  <c r="O1154" i="1"/>
  <c r="J1155" i="1"/>
  <c r="K1155" i="1"/>
  <c r="N1155" i="1"/>
  <c r="O1155" i="1"/>
  <c r="J1156" i="1"/>
  <c r="K1156" i="1"/>
  <c r="N1156" i="1"/>
  <c r="O1156" i="1"/>
  <c r="J1157" i="1"/>
  <c r="K1157" i="1"/>
  <c r="N1157" i="1"/>
  <c r="O1157" i="1"/>
  <c r="J1158" i="1"/>
  <c r="K1158" i="1"/>
  <c r="N1158" i="1"/>
  <c r="O1158" i="1"/>
  <c r="J1162" i="1"/>
  <c r="K1162" i="1"/>
  <c r="N1162" i="1"/>
  <c r="O1162" i="1"/>
  <c r="J1163" i="1"/>
  <c r="K1163" i="1"/>
  <c r="N1163" i="1"/>
  <c r="O1163" i="1"/>
  <c r="J1164" i="1"/>
  <c r="K1164" i="1"/>
  <c r="N1164" i="1"/>
  <c r="O1164" i="1"/>
  <c r="J1165" i="1"/>
  <c r="K1165" i="1"/>
  <c r="N1165" i="1"/>
  <c r="O1165" i="1"/>
  <c r="J1166" i="1"/>
  <c r="K1166" i="1"/>
  <c r="N1166" i="1"/>
  <c r="O1166" i="1"/>
  <c r="J1167" i="1"/>
  <c r="K1167" i="1"/>
  <c r="N1167" i="1"/>
  <c r="O1167" i="1"/>
  <c r="J1168" i="1"/>
  <c r="K1168" i="1"/>
  <c r="N1168" i="1"/>
  <c r="O1168" i="1"/>
  <c r="J1169" i="1"/>
  <c r="K1169" i="1"/>
  <c r="N1169" i="1"/>
  <c r="O1169" i="1"/>
  <c r="J1170" i="1"/>
  <c r="K1170" i="1"/>
  <c r="N1170" i="1"/>
  <c r="O1170" i="1"/>
  <c r="J1171" i="1"/>
  <c r="K1171" i="1"/>
  <c r="N1171" i="1"/>
  <c r="O1171" i="1"/>
  <c r="J1172" i="1"/>
  <c r="K1172" i="1"/>
  <c r="N1172" i="1"/>
  <c r="O1172" i="1"/>
  <c r="J1173" i="1"/>
  <c r="K1173" i="1"/>
  <c r="N1173" i="1"/>
  <c r="O1173" i="1"/>
  <c r="J1174" i="1"/>
  <c r="K1174" i="1"/>
  <c r="N1174" i="1"/>
  <c r="O1174" i="1"/>
  <c r="J1175" i="1"/>
  <c r="K1175" i="1"/>
  <c r="N1175" i="1"/>
  <c r="O1175" i="1"/>
  <c r="J1176" i="1"/>
  <c r="K1176" i="1"/>
  <c r="N1176" i="1"/>
  <c r="O1176" i="1"/>
  <c r="J1177" i="1"/>
  <c r="K1177" i="1"/>
  <c r="N1177" i="1"/>
  <c r="O1177" i="1"/>
  <c r="J1178" i="1"/>
  <c r="K1178" i="1"/>
  <c r="N1178" i="1"/>
  <c r="O1178" i="1"/>
  <c r="J1179" i="1"/>
  <c r="K1179" i="1"/>
  <c r="N1179" i="1"/>
  <c r="O1179" i="1"/>
  <c r="J1180" i="1"/>
  <c r="K1180" i="1"/>
  <c r="N1180" i="1"/>
  <c r="O1180" i="1"/>
  <c r="J1181" i="1"/>
  <c r="K1181" i="1"/>
  <c r="N1181" i="1"/>
  <c r="O1181" i="1"/>
  <c r="J1182" i="1"/>
  <c r="K1182" i="1"/>
  <c r="N1182" i="1"/>
  <c r="O1182" i="1"/>
  <c r="J1183" i="1"/>
  <c r="K1183" i="1"/>
  <c r="N1183" i="1"/>
  <c r="O1183" i="1"/>
  <c r="J1184" i="1"/>
  <c r="K1184" i="1"/>
  <c r="N1184" i="1"/>
  <c r="O1184" i="1"/>
  <c r="J1185" i="1"/>
  <c r="K1185" i="1"/>
  <c r="N1185" i="1"/>
  <c r="O1185" i="1"/>
  <c r="J1186" i="1"/>
  <c r="K1186" i="1"/>
  <c r="N1186" i="1"/>
  <c r="O1186" i="1"/>
  <c r="J1187" i="1"/>
  <c r="K1187" i="1"/>
  <c r="N1187" i="1"/>
  <c r="O1187" i="1"/>
  <c r="J1188" i="1"/>
  <c r="K1188" i="1"/>
  <c r="N1188" i="1"/>
  <c r="O1188" i="1"/>
  <c r="J1189" i="1"/>
  <c r="K1189" i="1"/>
  <c r="N1189" i="1"/>
  <c r="O1189" i="1"/>
  <c r="J1190" i="1"/>
  <c r="K1190" i="1"/>
  <c r="N1190" i="1"/>
  <c r="O1190" i="1"/>
  <c r="J1191" i="1"/>
  <c r="K1191" i="1"/>
  <c r="N1191" i="1"/>
  <c r="O1191" i="1"/>
  <c r="J1192" i="1"/>
  <c r="K1192" i="1"/>
  <c r="N1192" i="1"/>
  <c r="O1192" i="1"/>
  <c r="J1193" i="1"/>
  <c r="K1193" i="1"/>
  <c r="N1193" i="1"/>
  <c r="O1193" i="1"/>
  <c r="J1194" i="1"/>
  <c r="K1194" i="1"/>
  <c r="N1194" i="1"/>
  <c r="O1194" i="1"/>
  <c r="J1195" i="1"/>
  <c r="K1195" i="1"/>
  <c r="N1195" i="1"/>
  <c r="O1195" i="1"/>
  <c r="J1196" i="1"/>
  <c r="K1196" i="1"/>
  <c r="N1196" i="1"/>
  <c r="O1196" i="1"/>
  <c r="J1197" i="1"/>
  <c r="K1197" i="1"/>
  <c r="N1197" i="1"/>
  <c r="O1197" i="1"/>
  <c r="J1198" i="1"/>
  <c r="K1198" i="1"/>
  <c r="N1198" i="1"/>
  <c r="O1198" i="1"/>
  <c r="J1199" i="1"/>
  <c r="K1199" i="1"/>
  <c r="N1199" i="1"/>
  <c r="O1199" i="1"/>
  <c r="J1200" i="1"/>
  <c r="K1200" i="1"/>
  <c r="N1200" i="1"/>
  <c r="O1200" i="1"/>
  <c r="J1201" i="1"/>
  <c r="K1201" i="1"/>
  <c r="N1201" i="1"/>
  <c r="O1201" i="1"/>
  <c r="J1202" i="1"/>
  <c r="K1202" i="1"/>
  <c r="N1202" i="1"/>
  <c r="O1202" i="1"/>
  <c r="J1203" i="1"/>
  <c r="K1203" i="1"/>
  <c r="N1203" i="1"/>
  <c r="O1203" i="1"/>
  <c r="J1204" i="1"/>
  <c r="K1204" i="1"/>
  <c r="N1204" i="1"/>
  <c r="O1204" i="1"/>
  <c r="J1205" i="1"/>
  <c r="K1205" i="1"/>
  <c r="N1205" i="1"/>
  <c r="O1205" i="1"/>
  <c r="J1206" i="1"/>
  <c r="K1206" i="1"/>
  <c r="N1206" i="1"/>
  <c r="O1206" i="1"/>
  <c r="J1207" i="1"/>
  <c r="K1207" i="1"/>
  <c r="N1207" i="1"/>
  <c r="O1207" i="1"/>
  <c r="J1208" i="1"/>
  <c r="K1208" i="1"/>
  <c r="N1208" i="1"/>
  <c r="O1208" i="1"/>
  <c r="J1209" i="1"/>
  <c r="K1209" i="1"/>
  <c r="N1209" i="1"/>
  <c r="O1209" i="1"/>
  <c r="J1210" i="1"/>
  <c r="K1210" i="1"/>
  <c r="N1210" i="1"/>
  <c r="O1210" i="1"/>
  <c r="J1211" i="1"/>
  <c r="K1211" i="1"/>
  <c r="N1211" i="1"/>
  <c r="O1211" i="1"/>
  <c r="J1212" i="1"/>
  <c r="K1212" i="1"/>
  <c r="N1212" i="1"/>
  <c r="O1212" i="1"/>
  <c r="J1213" i="1"/>
  <c r="K1213" i="1"/>
  <c r="N1213" i="1"/>
  <c r="O1213" i="1"/>
  <c r="J1214" i="1"/>
  <c r="K1214" i="1"/>
  <c r="N1214" i="1"/>
  <c r="O1214" i="1"/>
  <c r="J1215" i="1"/>
  <c r="K1215" i="1"/>
  <c r="N1215" i="1"/>
  <c r="O1215" i="1"/>
  <c r="J1216" i="1"/>
  <c r="K1216" i="1"/>
  <c r="N1216" i="1"/>
  <c r="O1216" i="1"/>
  <c r="J1217" i="1"/>
  <c r="K1217" i="1"/>
  <c r="N1217" i="1"/>
  <c r="O1217" i="1"/>
  <c r="J1218" i="1"/>
  <c r="K1218" i="1"/>
  <c r="N1218" i="1"/>
  <c r="O1218" i="1"/>
  <c r="J1219" i="1"/>
  <c r="K1219" i="1"/>
  <c r="N1219" i="1"/>
  <c r="O1219" i="1"/>
  <c r="J1220" i="1"/>
  <c r="K1220" i="1"/>
  <c r="N1220" i="1"/>
  <c r="O1220" i="1"/>
  <c r="J1221" i="1"/>
  <c r="A69" i="2" s="1"/>
  <c r="K1221" i="1"/>
  <c r="L1221" i="1" s="1"/>
  <c r="M1221" i="1" s="1"/>
  <c r="B69" i="2" s="1"/>
  <c r="C69" i="2" s="1"/>
  <c r="N1221" i="1"/>
  <c r="O1221" i="1"/>
  <c r="J1222" i="1"/>
  <c r="K1222" i="1"/>
  <c r="N1222" i="1"/>
  <c r="O1222" i="1"/>
  <c r="J1223" i="1"/>
  <c r="K1223" i="1"/>
  <c r="N1223" i="1"/>
  <c r="O1223" i="1"/>
  <c r="J1224" i="1"/>
  <c r="K1224" i="1"/>
  <c r="N1224" i="1"/>
  <c r="O1224" i="1"/>
  <c r="J1225" i="1"/>
  <c r="K1225" i="1"/>
  <c r="N1225" i="1"/>
  <c r="O1225" i="1"/>
  <c r="J1226" i="1"/>
  <c r="K1226" i="1"/>
  <c r="N1226" i="1"/>
  <c r="O1226" i="1"/>
  <c r="J1227" i="1"/>
  <c r="K1227" i="1"/>
  <c r="N1227" i="1"/>
  <c r="O1227" i="1"/>
  <c r="J1228" i="1"/>
  <c r="K1228" i="1"/>
  <c r="N1228" i="1"/>
  <c r="O1228" i="1"/>
  <c r="J1229" i="1"/>
  <c r="K1229" i="1"/>
  <c r="N1229" i="1"/>
  <c r="O1229" i="1"/>
  <c r="J1230" i="1"/>
  <c r="K1230" i="1"/>
  <c r="N1230" i="1"/>
  <c r="O1230" i="1"/>
  <c r="J1231" i="1"/>
  <c r="K1231" i="1"/>
  <c r="N1231" i="1"/>
  <c r="O1231" i="1"/>
  <c r="J1232" i="1"/>
  <c r="K1232" i="1"/>
  <c r="N1232" i="1"/>
  <c r="O1232" i="1"/>
  <c r="J1236" i="1"/>
  <c r="K1236" i="1"/>
  <c r="N1236" i="1"/>
  <c r="O1236" i="1"/>
  <c r="J1237" i="1"/>
  <c r="K1237" i="1"/>
  <c r="N1237" i="1"/>
  <c r="O1237" i="1"/>
  <c r="J1238" i="1"/>
  <c r="K1238" i="1"/>
  <c r="N1238" i="1"/>
  <c r="O1238" i="1"/>
  <c r="J1239" i="1"/>
  <c r="K1239" i="1"/>
  <c r="N1239" i="1"/>
  <c r="O1239" i="1"/>
  <c r="J1240" i="1"/>
  <c r="K1240" i="1"/>
  <c r="N1240" i="1"/>
  <c r="O1240" i="1"/>
  <c r="J1241" i="1"/>
  <c r="K1241" i="1"/>
  <c r="N1241" i="1"/>
  <c r="O1241" i="1"/>
  <c r="J1242" i="1"/>
  <c r="K1242" i="1"/>
  <c r="N1242" i="1"/>
  <c r="O1242" i="1"/>
  <c r="J1243" i="1"/>
  <c r="K1243" i="1"/>
  <c r="N1243" i="1"/>
  <c r="O1243" i="1"/>
  <c r="J1244" i="1"/>
  <c r="K1244" i="1"/>
  <c r="N1244" i="1"/>
  <c r="O1244" i="1"/>
  <c r="J1245" i="1"/>
  <c r="K1245" i="1"/>
  <c r="N1245" i="1"/>
  <c r="O1245" i="1"/>
  <c r="J1246" i="1"/>
  <c r="K1246" i="1"/>
  <c r="N1246" i="1"/>
  <c r="O1246" i="1"/>
  <c r="J1247" i="1"/>
  <c r="K1247" i="1"/>
  <c r="N1247" i="1"/>
  <c r="O1247" i="1"/>
  <c r="J1248" i="1"/>
  <c r="K1248" i="1"/>
  <c r="N1248" i="1"/>
  <c r="O1248" i="1"/>
  <c r="J1249" i="1"/>
  <c r="K1249" i="1"/>
  <c r="N1249" i="1"/>
  <c r="O1249" i="1"/>
  <c r="J1250" i="1"/>
  <c r="K1250" i="1"/>
  <c r="N1250" i="1"/>
  <c r="O1250" i="1"/>
  <c r="J1251" i="1"/>
  <c r="K1251" i="1"/>
  <c r="N1251" i="1"/>
  <c r="O1251" i="1"/>
  <c r="J1252" i="1"/>
  <c r="K1252" i="1"/>
  <c r="N1252" i="1"/>
  <c r="O1252" i="1"/>
  <c r="J1253" i="1"/>
  <c r="K1253" i="1"/>
  <c r="N1253" i="1"/>
  <c r="O1253" i="1"/>
  <c r="J1254" i="1"/>
  <c r="K1254" i="1"/>
  <c r="N1254" i="1"/>
  <c r="O1254" i="1"/>
  <c r="J1255" i="1"/>
  <c r="K1255" i="1"/>
  <c r="N1255" i="1"/>
  <c r="O1255" i="1"/>
  <c r="J1256" i="1"/>
  <c r="K1256" i="1"/>
  <c r="N1256" i="1"/>
  <c r="O1256" i="1"/>
  <c r="J1260" i="1"/>
  <c r="K1260" i="1"/>
  <c r="N1260" i="1"/>
  <c r="O1260" i="1"/>
  <c r="J1261" i="1"/>
  <c r="K1261" i="1"/>
  <c r="N1261" i="1"/>
  <c r="O1261" i="1"/>
  <c r="J1262" i="1"/>
  <c r="K1262" i="1"/>
  <c r="N1262" i="1"/>
  <c r="O1262" i="1"/>
  <c r="J1263" i="1"/>
  <c r="K1263" i="1"/>
  <c r="N1263" i="1"/>
  <c r="O1263" i="1"/>
  <c r="J1264" i="1"/>
  <c r="K1264" i="1"/>
  <c r="N1264" i="1"/>
  <c r="O1264" i="1"/>
  <c r="J1265" i="1"/>
  <c r="K1265" i="1"/>
  <c r="N1265" i="1"/>
  <c r="O1265" i="1"/>
  <c r="J1269" i="1"/>
  <c r="K1269" i="1"/>
  <c r="N1269" i="1"/>
  <c r="O1269" i="1"/>
  <c r="J1270" i="1"/>
  <c r="K1270" i="1"/>
  <c r="N1270" i="1"/>
  <c r="O1270" i="1"/>
  <c r="J1271" i="1"/>
  <c r="K1271" i="1"/>
  <c r="N1271" i="1"/>
  <c r="O1271" i="1"/>
  <c r="J1272" i="1"/>
  <c r="K1272" i="1"/>
  <c r="N1272" i="1"/>
  <c r="O1272" i="1"/>
  <c r="J1273" i="1"/>
  <c r="K1273" i="1"/>
  <c r="N1273" i="1"/>
  <c r="O1273" i="1"/>
  <c r="J1274" i="1"/>
  <c r="K1274" i="1"/>
  <c r="N1274" i="1"/>
  <c r="O1274" i="1"/>
  <c r="J1275" i="1"/>
  <c r="K1275" i="1"/>
  <c r="N1275" i="1"/>
  <c r="O1275" i="1"/>
  <c r="J1276" i="1"/>
  <c r="K1276" i="1"/>
  <c r="N1276" i="1"/>
  <c r="O1276" i="1"/>
  <c r="J1277" i="1"/>
  <c r="K1277" i="1"/>
  <c r="N1277" i="1"/>
  <c r="O1277" i="1"/>
  <c r="J1278" i="1"/>
  <c r="K1278" i="1"/>
  <c r="N1278" i="1"/>
  <c r="O1278" i="1"/>
  <c r="J1279" i="1"/>
  <c r="K1279" i="1"/>
  <c r="N1279" i="1"/>
  <c r="O1279" i="1"/>
  <c r="J1280" i="1"/>
  <c r="K1280" i="1"/>
  <c r="N1280" i="1"/>
  <c r="O1280" i="1"/>
  <c r="J1281" i="1"/>
  <c r="K1281" i="1"/>
  <c r="N1281" i="1"/>
  <c r="O1281" i="1"/>
  <c r="J1282" i="1"/>
  <c r="K1282" i="1"/>
  <c r="N1282" i="1"/>
  <c r="O1282" i="1"/>
  <c r="J1283" i="1"/>
  <c r="K1283" i="1"/>
  <c r="N1283" i="1"/>
  <c r="O1283" i="1"/>
  <c r="J1284" i="1"/>
  <c r="K1284" i="1"/>
  <c r="N1284" i="1"/>
  <c r="O1284" i="1"/>
  <c r="J1285" i="1"/>
  <c r="K1285" i="1"/>
  <c r="N1285" i="1"/>
  <c r="O1285" i="1"/>
  <c r="J1286" i="1"/>
  <c r="K1286" i="1"/>
  <c r="N1286" i="1"/>
  <c r="O1286" i="1"/>
  <c r="J1290" i="1"/>
  <c r="K1290" i="1"/>
  <c r="N1290" i="1"/>
  <c r="O1290" i="1"/>
  <c r="J1291" i="1"/>
  <c r="K1291" i="1"/>
  <c r="N1291" i="1"/>
  <c r="O1291" i="1"/>
  <c r="J1292" i="1"/>
  <c r="K1292" i="1"/>
  <c r="N1292" i="1"/>
  <c r="O1292" i="1"/>
  <c r="J1293" i="1"/>
  <c r="K1293" i="1"/>
  <c r="N1293" i="1"/>
  <c r="O1293" i="1"/>
  <c r="J1294" i="1"/>
  <c r="K1294" i="1"/>
  <c r="N1294" i="1"/>
  <c r="O1294" i="1"/>
  <c r="J1295" i="1"/>
  <c r="K1295" i="1"/>
  <c r="N1295" i="1"/>
  <c r="O1295" i="1"/>
  <c r="J1296" i="1"/>
  <c r="K1296" i="1"/>
  <c r="N1296" i="1"/>
  <c r="O1296" i="1"/>
  <c r="J1297" i="1"/>
  <c r="K1297" i="1"/>
  <c r="N1297" i="1"/>
  <c r="O1297" i="1"/>
  <c r="J1298" i="1"/>
  <c r="K1298" i="1"/>
  <c r="N1298" i="1"/>
  <c r="O1298" i="1"/>
  <c r="J1299" i="1"/>
  <c r="K1299" i="1"/>
  <c r="N1299" i="1"/>
  <c r="O1299" i="1"/>
  <c r="J1300" i="1"/>
  <c r="K1300" i="1"/>
  <c r="N1300" i="1"/>
  <c r="O1300" i="1"/>
  <c r="J1301" i="1"/>
  <c r="K1301" i="1"/>
  <c r="N1301" i="1"/>
  <c r="O1301" i="1"/>
  <c r="J1302" i="1"/>
  <c r="K1302" i="1"/>
  <c r="N1302" i="1"/>
  <c r="O1302" i="1"/>
  <c r="J1303" i="1"/>
  <c r="K1303" i="1"/>
  <c r="N1303" i="1"/>
  <c r="O1303" i="1"/>
  <c r="J1304" i="1"/>
  <c r="K1304" i="1"/>
  <c r="N1304" i="1"/>
  <c r="O1304" i="1"/>
  <c r="J1305" i="1"/>
  <c r="K1305" i="1"/>
  <c r="N1305" i="1"/>
  <c r="O1305" i="1"/>
  <c r="J1306" i="1"/>
  <c r="K1306" i="1"/>
  <c r="N1306" i="1"/>
  <c r="O1306" i="1"/>
  <c r="J1307" i="1"/>
  <c r="K1307" i="1"/>
  <c r="N1307" i="1"/>
  <c r="O1307" i="1"/>
  <c r="J1308" i="1"/>
  <c r="K1308" i="1"/>
  <c r="N1308" i="1"/>
  <c r="O1308" i="1"/>
  <c r="J1309" i="1"/>
  <c r="K1309" i="1"/>
  <c r="N1309" i="1"/>
  <c r="O1309" i="1"/>
  <c r="J1310" i="1"/>
  <c r="K1310" i="1"/>
  <c r="N1310" i="1"/>
  <c r="O1310" i="1"/>
  <c r="J1311" i="1"/>
  <c r="K1311" i="1"/>
  <c r="N1311" i="1"/>
  <c r="O1311" i="1"/>
  <c r="J1312" i="1"/>
  <c r="K1312" i="1"/>
  <c r="N1312" i="1"/>
  <c r="O1312" i="1"/>
  <c r="J1313" i="1"/>
  <c r="K1313" i="1"/>
  <c r="N1313" i="1"/>
  <c r="O1313" i="1"/>
  <c r="J1314" i="1"/>
  <c r="K1314" i="1"/>
  <c r="N1314" i="1"/>
  <c r="O1314" i="1"/>
  <c r="J1315" i="1"/>
  <c r="K1315" i="1"/>
  <c r="N1315" i="1"/>
  <c r="O1315" i="1"/>
  <c r="J1316" i="1"/>
  <c r="K1316" i="1"/>
  <c r="N1316" i="1"/>
  <c r="O1316" i="1"/>
  <c r="J1317" i="1"/>
  <c r="K1317" i="1"/>
  <c r="N1317" i="1"/>
  <c r="O1317" i="1"/>
  <c r="J1318" i="1"/>
  <c r="K1318" i="1"/>
  <c r="N1318" i="1"/>
  <c r="O1318" i="1"/>
  <c r="J1319" i="1"/>
  <c r="K1319" i="1"/>
  <c r="N1319" i="1"/>
  <c r="O1319" i="1"/>
  <c r="J1320" i="1"/>
  <c r="K1320" i="1"/>
  <c r="N1320" i="1"/>
  <c r="O1320" i="1"/>
  <c r="J1321" i="1"/>
  <c r="K1321" i="1"/>
  <c r="N1321" i="1"/>
  <c r="O1321" i="1"/>
  <c r="J1322" i="1"/>
  <c r="K1322" i="1"/>
  <c r="N1322" i="1"/>
  <c r="O1322" i="1"/>
  <c r="J1326" i="1"/>
  <c r="K1326" i="1"/>
  <c r="N1326" i="1"/>
  <c r="O1326" i="1"/>
  <c r="J1327" i="1"/>
  <c r="K1327" i="1"/>
  <c r="N1327" i="1"/>
  <c r="O1327" i="1"/>
  <c r="J1328" i="1"/>
  <c r="K1328" i="1"/>
  <c r="N1328" i="1"/>
  <c r="O1328" i="1"/>
  <c r="J1329" i="1"/>
  <c r="K1329" i="1"/>
  <c r="N1329" i="1"/>
  <c r="O1329" i="1"/>
  <c r="J1330" i="1"/>
  <c r="K1330" i="1"/>
  <c r="N1330" i="1"/>
  <c r="O1330" i="1"/>
  <c r="J1331" i="1"/>
  <c r="K1331" i="1"/>
  <c r="N1331" i="1"/>
  <c r="O1331" i="1"/>
  <c r="J1332" i="1"/>
  <c r="K1332" i="1"/>
  <c r="N1332" i="1"/>
  <c r="O1332" i="1"/>
  <c r="J1333" i="1"/>
  <c r="K1333" i="1"/>
  <c r="N1333" i="1"/>
  <c r="O1333" i="1"/>
  <c r="J1334" i="1"/>
  <c r="K1334" i="1"/>
  <c r="N1334" i="1"/>
  <c r="O1334" i="1"/>
  <c r="J1335" i="1"/>
  <c r="K1335" i="1"/>
  <c r="N1335" i="1"/>
  <c r="O1335" i="1"/>
  <c r="J1336" i="1"/>
  <c r="K1336" i="1"/>
  <c r="N1336" i="1"/>
  <c r="O1336" i="1"/>
  <c r="J1337" i="1"/>
  <c r="K1337" i="1"/>
  <c r="N1337" i="1"/>
  <c r="O1337" i="1"/>
  <c r="J1341" i="1"/>
  <c r="K1341" i="1"/>
  <c r="N1341" i="1"/>
  <c r="O1341" i="1"/>
  <c r="J1342" i="1"/>
  <c r="K1342" i="1"/>
  <c r="N1342" i="1"/>
  <c r="O1342" i="1"/>
  <c r="J1343" i="1"/>
  <c r="K1343" i="1"/>
  <c r="N1343" i="1"/>
  <c r="O1343" i="1"/>
  <c r="J1344" i="1"/>
  <c r="K1344" i="1"/>
  <c r="N1344" i="1"/>
  <c r="O1344" i="1"/>
  <c r="J1345" i="1"/>
  <c r="K1345" i="1"/>
  <c r="N1345" i="1"/>
  <c r="O1345" i="1"/>
  <c r="J1346" i="1"/>
  <c r="K1346" i="1"/>
  <c r="N1346" i="1"/>
  <c r="O1346" i="1"/>
  <c r="J1347" i="1"/>
  <c r="K1347" i="1"/>
  <c r="N1347" i="1"/>
  <c r="O1347" i="1"/>
  <c r="J1348" i="1"/>
  <c r="K1348" i="1"/>
  <c r="N1348" i="1"/>
  <c r="O1348" i="1"/>
  <c r="J1349" i="1"/>
  <c r="K1349" i="1"/>
  <c r="N1349" i="1"/>
  <c r="O1349" i="1"/>
  <c r="J1350" i="1"/>
  <c r="K1350" i="1"/>
  <c r="N1350" i="1"/>
  <c r="O1350" i="1"/>
  <c r="J1351" i="1"/>
  <c r="K1351" i="1"/>
  <c r="N1351" i="1"/>
  <c r="O1351" i="1"/>
  <c r="J1352" i="1"/>
  <c r="K1352" i="1"/>
  <c r="N1352" i="1"/>
  <c r="O1352" i="1"/>
  <c r="J1353" i="1"/>
  <c r="K1353" i="1"/>
  <c r="N1353" i="1"/>
  <c r="O1353" i="1"/>
  <c r="J1354" i="1"/>
  <c r="K1354" i="1"/>
  <c r="N1354" i="1"/>
  <c r="O1354" i="1"/>
  <c r="J1355" i="1"/>
  <c r="K1355" i="1"/>
  <c r="N1355" i="1"/>
  <c r="O1355" i="1"/>
  <c r="J1356" i="1"/>
  <c r="K1356" i="1"/>
  <c r="N1356" i="1"/>
  <c r="O1356" i="1"/>
  <c r="J1357" i="1"/>
  <c r="K1357" i="1"/>
  <c r="N1357" i="1"/>
  <c r="O1357" i="1"/>
  <c r="J1361" i="1"/>
  <c r="K1361" i="1"/>
  <c r="N1361" i="1"/>
  <c r="O1361" i="1"/>
  <c r="J1362" i="1"/>
  <c r="K1362" i="1"/>
  <c r="N1362" i="1"/>
  <c r="O1362" i="1"/>
  <c r="J1363" i="1"/>
  <c r="K1363" i="1"/>
  <c r="N1363" i="1"/>
  <c r="O1363" i="1"/>
  <c r="J1364" i="1"/>
  <c r="K1364" i="1"/>
  <c r="N1364" i="1"/>
  <c r="O1364" i="1"/>
  <c r="J1365" i="1"/>
  <c r="K1365" i="1"/>
  <c r="N1365" i="1"/>
  <c r="O1365" i="1"/>
  <c r="J1366" i="1"/>
  <c r="K1366" i="1"/>
  <c r="N1366" i="1"/>
  <c r="O1366" i="1"/>
  <c r="J1367" i="1"/>
  <c r="K1367" i="1"/>
  <c r="N1367" i="1"/>
  <c r="O1367" i="1"/>
  <c r="J1368" i="1"/>
  <c r="K1368" i="1"/>
  <c r="N1368" i="1"/>
  <c r="O1368" i="1"/>
  <c r="J1369" i="1"/>
  <c r="K1369" i="1"/>
  <c r="N1369" i="1"/>
  <c r="O1369" i="1"/>
  <c r="J1370" i="1"/>
  <c r="K1370" i="1"/>
  <c r="N1370" i="1"/>
  <c r="O1370" i="1"/>
  <c r="J1371" i="1"/>
  <c r="K1371" i="1"/>
  <c r="N1371" i="1"/>
  <c r="O1371" i="1"/>
  <c r="J1372" i="1"/>
  <c r="K1372" i="1"/>
  <c r="N1372" i="1"/>
  <c r="O1372" i="1"/>
  <c r="J1373" i="1"/>
  <c r="K1373" i="1"/>
  <c r="N1373" i="1"/>
  <c r="O1373" i="1"/>
  <c r="J1374" i="1"/>
  <c r="K1374" i="1"/>
  <c r="N1374" i="1"/>
  <c r="O1374" i="1"/>
  <c r="J1375" i="1"/>
  <c r="K1375" i="1"/>
  <c r="N1375" i="1"/>
  <c r="O1375" i="1"/>
  <c r="J1376" i="1"/>
  <c r="K1376" i="1"/>
  <c r="N1376" i="1"/>
  <c r="O1376" i="1"/>
  <c r="J1377" i="1"/>
  <c r="K1377" i="1"/>
  <c r="N1377" i="1"/>
  <c r="O1377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6" i="1"/>
  <c r="N7" i="1"/>
  <c r="O7" i="1"/>
  <c r="N8" i="1"/>
  <c r="O8" i="1"/>
  <c r="N9" i="1"/>
  <c r="O9" i="1"/>
  <c r="N10" i="1"/>
  <c r="O10" i="1"/>
  <c r="N11" i="1"/>
  <c r="O11" i="1"/>
  <c r="N12" i="1"/>
  <c r="O12" i="1"/>
  <c r="N13" i="1"/>
  <c r="O13" i="1"/>
  <c r="N14" i="1"/>
  <c r="O14" i="1"/>
  <c r="N15" i="1"/>
  <c r="O15" i="1"/>
  <c r="N16" i="1"/>
  <c r="O16" i="1"/>
  <c r="N17" i="1"/>
  <c r="O17" i="1"/>
  <c r="N18" i="1"/>
  <c r="O18" i="1"/>
  <c r="N19" i="1"/>
  <c r="O19" i="1"/>
  <c r="N20" i="1"/>
  <c r="O20" i="1"/>
  <c r="N21" i="1"/>
  <c r="O21" i="1"/>
  <c r="O6" i="1"/>
  <c r="N6" i="1"/>
</calcChain>
</file>

<file path=xl/comments1.xml><?xml version="1.0" encoding="utf-8"?>
<comments xmlns="http://schemas.openxmlformats.org/spreadsheetml/2006/main">
  <authors>
    <author>M_Shambon</author>
  </authors>
  <commentList>
    <comment ref="E1" authorId="0" shapeId="0">
      <text>
        <r>
          <rPr>
            <b/>
            <sz val="9"/>
            <color indexed="81"/>
            <rFont val="Tahoma"/>
            <family val="2"/>
          </rPr>
          <t>M_Shambon:</t>
        </r>
        <r>
          <rPr>
            <sz val="9"/>
            <color indexed="81"/>
            <rFont val="Tahoma"/>
            <family val="2"/>
          </rPr>
          <t xml:space="preserve">
* Adjust for West, which is expressed as a negative</t>
        </r>
      </text>
    </comment>
  </commentList>
</comments>
</file>

<file path=xl/sharedStrings.xml><?xml version="1.0" encoding="utf-8"?>
<sst xmlns="http://schemas.openxmlformats.org/spreadsheetml/2006/main" count="4504" uniqueCount="3947">
  <si>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</si>
  <si>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</si>
  <si>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</si>
  <si>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</si>
  <si>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</si>
  <si>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</si>
  <si>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</si>
  <si>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</si>
  <si>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</si>
  <si>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</si>
  <si>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</si>
  <si>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</si>
  <si>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</si>
  <si>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</si>
  <si>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</si>
  <si>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</si>
  <si>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</si>
  <si>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</si>
  <si>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</si>
  <si>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</si>
  <si>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</si>
  <si>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</si>
  <si>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</si>
  <si>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</si>
  <si>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</si>
  <si>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</si>
  <si>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</si>
  <si>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</si>
  <si>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York</t>
  </si>
  <si>
    <t>Ohio</t>
  </si>
  <si>
    <t>Oklahoma</t>
  </si>
  <si>
    <t>Oregon</t>
  </si>
  <si>
    <t>Pennsylvania</t>
  </si>
  <si>
    <t>Tennessee</t>
  </si>
  <si>
    <t>Texas</t>
  </si>
  <si>
    <t>Utah</t>
  </si>
  <si>
    <t>Vermont</t>
  </si>
  <si>
    <t>Virginia</t>
  </si>
  <si>
    <t>Washington</t>
  </si>
  <si>
    <t>Wisconsin</t>
  </si>
  <si>
    <t>Wyoming</t>
  </si>
  <si>
    <t>of</t>
  </si>
  <si>
    <t>District</t>
  </si>
  <si>
    <t>Columbia</t>
  </si>
  <si>
    <t>New</t>
  </si>
  <si>
    <t>Hampshire</t>
  </si>
  <si>
    <t>Jersey</t>
  </si>
  <si>
    <t>Mexico</t>
  </si>
  <si>
    <t>York</t>
  </si>
  <si>
    <t>North</t>
  </si>
  <si>
    <t>Carolina</t>
  </si>
  <si>
    <t>Dakota</t>
  </si>
  <si>
    <t>Rhode</t>
  </si>
  <si>
    <t>Island</t>
  </si>
  <si>
    <t>South</t>
  </si>
  <si>
    <t>West</t>
  </si>
  <si>
    <t>ID</t>
  </si>
  <si>
    <t>LAT</t>
  </si>
  <si>
    <t>LON</t>
  </si>
  <si>
    <t>Location</t>
  </si>
  <si>
    <t>[ANB]</t>
  </si>
  <si>
    <t>Anniston,AL</t>
  </si>
  <si>
    <t>[AUO]</t>
  </si>
  <si>
    <t>Auburn,AL</t>
  </si>
  <si>
    <t>[BHM]</t>
  </si>
  <si>
    <t>Birmingham,AL</t>
  </si>
  <si>
    <t>[CKL]</t>
  </si>
  <si>
    <t>Centreville,AL</t>
  </si>
  <si>
    <t>[DHN]</t>
  </si>
  <si>
    <t>Dothan,AL</t>
  </si>
  <si>
    <t>[OZR]</t>
  </si>
  <si>
    <t>Fort</t>
  </si>
  <si>
    <t>Rucker,AL</t>
  </si>
  <si>
    <t>[GAD]</t>
  </si>
  <si>
    <t>Gadsden,AL</t>
  </si>
  <si>
    <t>[HSV]</t>
  </si>
  <si>
    <t>Huntsville,AL</t>
  </si>
  <si>
    <t>[MXF]</t>
  </si>
  <si>
    <t>Maxwell</t>
  </si>
  <si>
    <t>AFB,AL</t>
  </si>
  <si>
    <t>[MOB]</t>
  </si>
  <si>
    <t>Mobile,AL</t>
  </si>
  <si>
    <t>[BFM]</t>
  </si>
  <si>
    <t>Mobile</t>
  </si>
  <si>
    <t>Aeros,AL</t>
  </si>
  <si>
    <t>[MGM]</t>
  </si>
  <si>
    <t>Montgomery,AL</t>
  </si>
  <si>
    <t>[MSL]</t>
  </si>
  <si>
    <t>Muscle</t>
  </si>
  <si>
    <t>Shoal,AL</t>
  </si>
  <si>
    <t>[SEM]</t>
  </si>
  <si>
    <t>Selma,AL</t>
  </si>
  <si>
    <t>[TOI]</t>
  </si>
  <si>
    <t>Troy,AL</t>
  </si>
  <si>
    <t>[TCL]</t>
  </si>
  <si>
    <t>Tuscaloosa,AL</t>
  </si>
  <si>
    <t>[ADK]</t>
  </si>
  <si>
    <t>Adak,AK</t>
  </si>
  <si>
    <t>[Z60]</t>
  </si>
  <si>
    <t>Ambler,AK</t>
  </si>
  <si>
    <t>[ANC]</t>
  </si>
  <si>
    <t>Anchorage,AK</t>
  </si>
  <si>
    <t>[MRI]</t>
  </si>
  <si>
    <t>[AGN]</t>
  </si>
  <si>
    <t>Angoon,AK</t>
  </si>
  <si>
    <t>[ANI]</t>
  </si>
  <si>
    <t>Aniak,AK</t>
  </si>
  <si>
    <t>[ANN]</t>
  </si>
  <si>
    <t>Annette</t>
  </si>
  <si>
    <t>Isl,AK</t>
  </si>
  <si>
    <t>[ATU]</t>
  </si>
  <si>
    <t>Attu,AK</t>
  </si>
  <si>
    <t>[BRW]</t>
  </si>
  <si>
    <t>Barrow,AK</t>
  </si>
  <si>
    <t>[BTI]</t>
  </si>
  <si>
    <t>Barter</t>
  </si>
  <si>
    <t>Islan,AK</t>
  </si>
  <si>
    <t>[BET]</t>
  </si>
  <si>
    <t>Bethel</t>
  </si>
  <si>
    <t>Arpt,AK</t>
  </si>
  <si>
    <t>[BTT]</t>
  </si>
  <si>
    <t>Bettles,AK</t>
  </si>
  <si>
    <t>[BIG]</t>
  </si>
  <si>
    <t>Big</t>
  </si>
  <si>
    <t>Delta,AK</t>
  </si>
  <si>
    <t>[5BI]</t>
  </si>
  <si>
    <t>River</t>
  </si>
  <si>
    <t>Lk,AK</t>
  </si>
  <si>
    <t>[Z68]</t>
  </si>
  <si>
    <t>Cantwell,AK</t>
  </si>
  <si>
    <t>[CDE]</t>
  </si>
  <si>
    <t>Cape</t>
  </si>
  <si>
    <t>Decis,AK</t>
  </si>
  <si>
    <t>[5HN]</t>
  </si>
  <si>
    <t>Hinchi,AK</t>
  </si>
  <si>
    <t>[CSP]</t>
  </si>
  <si>
    <t>Spence,AK</t>
  </si>
  <si>
    <t>[5CE]</t>
  </si>
  <si>
    <t>St</t>
  </si>
  <si>
    <t>Eli,AK</t>
  </si>
  <si>
    <t>[WCR]</t>
  </si>
  <si>
    <t>Chandalar</t>
  </si>
  <si>
    <t>[Z00]</t>
  </si>
  <si>
    <t>Chulitna,AK</t>
  </si>
  <si>
    <t>[CRC]</t>
  </si>
  <si>
    <t>Circle</t>
  </si>
  <si>
    <t>City,AK</t>
  </si>
  <si>
    <t>[CDB]</t>
  </si>
  <si>
    <t>Cold</t>
  </si>
  <si>
    <t>Bay,AK</t>
  </si>
  <si>
    <t>[CDV]</t>
  </si>
  <si>
    <t>Cordova,AK</t>
  </si>
  <si>
    <t>[CGA]</t>
  </si>
  <si>
    <t>Craig,AK</t>
  </si>
  <si>
    <t>[SCC]</t>
  </si>
  <si>
    <t>Deadhorse,AK</t>
  </si>
  <si>
    <t>[DLG]</t>
  </si>
  <si>
    <t>Dillingham,AK</t>
  </si>
  <si>
    <t>[5SZ]</t>
  </si>
  <si>
    <t>Duffys</t>
  </si>
  <si>
    <t>Tavern,AK</t>
  </si>
  <si>
    <t>[DUT]</t>
  </si>
  <si>
    <t>Dutch</t>
  </si>
  <si>
    <t>Harbor,AK</t>
  </si>
  <si>
    <t>[EAA]</t>
  </si>
  <si>
    <t>Eagle</t>
  </si>
  <si>
    <t>[ERO]</t>
  </si>
  <si>
    <t>Eldred</t>
  </si>
  <si>
    <t>Rock,AK</t>
  </si>
  <si>
    <t>[ELV]</t>
  </si>
  <si>
    <t>Elfin</t>
  </si>
  <si>
    <t>Cove,AK</t>
  </si>
  <si>
    <t>[FAI]</t>
  </si>
  <si>
    <t>Fairbanks,AK</t>
  </si>
  <si>
    <t>[FWL]</t>
  </si>
  <si>
    <t>Farewell,AK</t>
  </si>
  <si>
    <t>[FIV]</t>
  </si>
  <si>
    <t>Five</t>
  </si>
  <si>
    <t>Finger,AK</t>
  </si>
  <si>
    <t>[FVM]</t>
  </si>
  <si>
    <t>Mile,AK</t>
  </si>
  <si>
    <t>[FYU]</t>
  </si>
  <si>
    <t>Yukon,AK</t>
  </si>
  <si>
    <t>[FNR]</t>
  </si>
  <si>
    <t>Funter</t>
  </si>
  <si>
    <t>[GBH]</t>
  </si>
  <si>
    <t>Galbraith</t>
  </si>
  <si>
    <t>[GAM]</t>
  </si>
  <si>
    <t>Gambell,AK</t>
  </si>
  <si>
    <t>[GKN]</t>
  </si>
  <si>
    <t>Gulkana</t>
  </si>
  <si>
    <t>[GST]</t>
  </si>
  <si>
    <t>Gustavus,AK</t>
  </si>
  <si>
    <t>[Z26]</t>
  </si>
  <si>
    <t>Haines</t>
  </si>
  <si>
    <t>Hrbor,AK</t>
  </si>
  <si>
    <t>[5HR]</t>
  </si>
  <si>
    <t>Hayes</t>
  </si>
  <si>
    <t>River,AK</t>
  </si>
  <si>
    <t>[5EA]</t>
  </si>
  <si>
    <t>Healy</t>
  </si>
  <si>
    <t>[HOM]</t>
  </si>
  <si>
    <t>Homer,AK</t>
  </si>
  <si>
    <t>[Z49]</t>
  </si>
  <si>
    <t>Hoonah</t>
  </si>
  <si>
    <t>Seapl,AK</t>
  </si>
  <si>
    <t>[ILI]</t>
  </si>
  <si>
    <t>Iliamna</t>
  </si>
  <si>
    <t>[JNU]</t>
  </si>
  <si>
    <t>Juneau,AK</t>
  </si>
  <si>
    <t>[KAE]</t>
  </si>
  <si>
    <t>Kake</t>
  </si>
  <si>
    <t>Seaplan,AK</t>
  </si>
  <si>
    <t>[ENA]</t>
  </si>
  <si>
    <t>Kenai,AK</t>
  </si>
  <si>
    <t>[KTN]</t>
  </si>
  <si>
    <t>Ketchikan,AK</t>
  </si>
  <si>
    <t>[AKN]</t>
  </si>
  <si>
    <t>King</t>
  </si>
  <si>
    <t>Salmon,AK</t>
  </si>
  <si>
    <t>[ADQ]</t>
  </si>
  <si>
    <t>Kodiak,AK</t>
  </si>
  <si>
    <t>[OTZ]</t>
  </si>
  <si>
    <t>Kotzebue,AK</t>
  </si>
  <si>
    <t>[5WO]</t>
  </si>
  <si>
    <t>Lazy</t>
  </si>
  <si>
    <t>Mtn,AK</t>
  </si>
  <si>
    <t>[LNI]</t>
  </si>
  <si>
    <t>Lonely</t>
  </si>
  <si>
    <t>(dew),AK</t>
  </si>
  <si>
    <t>[MLY]</t>
  </si>
  <si>
    <t>Manley</t>
  </si>
  <si>
    <t>Ht</t>
  </si>
  <si>
    <t>Sp,AK</t>
  </si>
  <si>
    <t>[MXY]</t>
  </si>
  <si>
    <t>Mccarthy,AK</t>
  </si>
  <si>
    <t>[MCG]</t>
  </si>
  <si>
    <t>Mcgrath,AK</t>
  </si>
  <si>
    <t>[MYU]</t>
  </si>
  <si>
    <t>Mekoryuk,AK</t>
  </si>
  <si>
    <t>[MDO]</t>
  </si>
  <si>
    <t>Middleton</t>
  </si>
  <si>
    <t>Is,AK</t>
  </si>
  <si>
    <t>[MHM]</t>
  </si>
  <si>
    <t>Minchumina,AK</t>
  </si>
  <si>
    <t>[ENN]</t>
  </si>
  <si>
    <t>Nenana,AK</t>
  </si>
  <si>
    <t>[KSM]</t>
  </si>
  <si>
    <t>Andreafs,AK</t>
  </si>
  <si>
    <t>[IKO]</t>
  </si>
  <si>
    <t>Nikolski,AK</t>
  </si>
  <si>
    <t>[OME]</t>
  </si>
  <si>
    <t>Nome,AK</t>
  </si>
  <si>
    <t>[ORT]</t>
  </si>
  <si>
    <t>Northway,AK</t>
  </si>
  <si>
    <t>[OLI]</t>
  </si>
  <si>
    <t>Oliktok</t>
  </si>
  <si>
    <t>Dew,AK</t>
  </si>
  <si>
    <t>[PAQ]</t>
  </si>
  <si>
    <t>Palmer,AK</t>
  </si>
  <si>
    <t>[5PX]</t>
  </si>
  <si>
    <t>Paxson,AK</t>
  </si>
  <si>
    <t>[PSG]</t>
  </si>
  <si>
    <t>Petersburg,AK</t>
  </si>
  <si>
    <t>[PIZ]</t>
  </si>
  <si>
    <t>Point</t>
  </si>
  <si>
    <t>Lay,AK</t>
  </si>
  <si>
    <t>[Z76]</t>
  </si>
  <si>
    <t>Port</t>
  </si>
  <si>
    <t>Alexndr,AK</t>
  </si>
  <si>
    <t>[KPC]</t>
  </si>
  <si>
    <t>Clarnce,AK</t>
  </si>
  <si>
    <t>[PTH]</t>
  </si>
  <si>
    <t>Heiden,AK</t>
  </si>
  <si>
    <t>[PPC]</t>
  </si>
  <si>
    <t>Prospect</t>
  </si>
  <si>
    <t>Crk,AK</t>
  </si>
  <si>
    <t>[PUO]</t>
  </si>
  <si>
    <t>Prudhoe</t>
  </si>
  <si>
    <t>[Z30]</t>
  </si>
  <si>
    <t>Pt</t>
  </si>
  <si>
    <t>Alsworth,AK</t>
  </si>
  <si>
    <t>[PTI]</t>
  </si>
  <si>
    <t>Puntilla,AK</t>
  </si>
  <si>
    <t>[SDP]</t>
  </si>
  <si>
    <t>Sand</t>
  </si>
  <si>
    <t>Point,AK</t>
  </si>
  <si>
    <t>[5WD]</t>
  </si>
  <si>
    <t>Seward,AK</t>
  </si>
  <si>
    <t>[SYA]</t>
  </si>
  <si>
    <t>Shemy,AK</t>
  </si>
  <si>
    <t>[SHH]</t>
  </si>
  <si>
    <t>Shishmaref,AK</t>
  </si>
  <si>
    <t>[SIT]</t>
  </si>
  <si>
    <t>Sitka,AK</t>
  </si>
  <si>
    <t>[SKJ]</t>
  </si>
  <si>
    <t>Sitkinak,AK</t>
  </si>
  <si>
    <t>[SGY]</t>
  </si>
  <si>
    <t>Skagway,AK</t>
  </si>
  <si>
    <t>[SKW]</t>
  </si>
  <si>
    <t>Skwentna,AK</t>
  </si>
  <si>
    <t>[5SO]</t>
  </si>
  <si>
    <t>Snowshoe</t>
  </si>
  <si>
    <t>[SNP]</t>
  </si>
  <si>
    <t>Paul</t>
  </si>
  <si>
    <t>[5GN]</t>
  </si>
  <si>
    <t>Tahneta</t>
  </si>
  <si>
    <t>Pass,AK</t>
  </si>
  <si>
    <t>[TKA]</t>
  </si>
  <si>
    <t>Talkeetna,AK</t>
  </si>
  <si>
    <t>[TAL]</t>
  </si>
  <si>
    <t>Tanana,AK</t>
  </si>
  <si>
    <t>[UMT]</t>
  </si>
  <si>
    <t>Umiat,AK</t>
  </si>
  <si>
    <t>[UNK]</t>
  </si>
  <si>
    <t>Unalakleet,AK</t>
  </si>
  <si>
    <t>[VWS]</t>
  </si>
  <si>
    <t>Valdez,AK</t>
  </si>
  <si>
    <t>[VDZ]</t>
  </si>
  <si>
    <t>Valdez</t>
  </si>
  <si>
    <t>2,AK</t>
  </si>
  <si>
    <t>[AIN]</t>
  </si>
  <si>
    <t>Wainwright,AK</t>
  </si>
  <si>
    <t>[WAA]</t>
  </si>
  <si>
    <t>Wales,AK</t>
  </si>
  <si>
    <t>[5WT]</t>
  </si>
  <si>
    <t>Whittier,AK</t>
  </si>
  <si>
    <t>[Z22]</t>
  </si>
  <si>
    <t>Willow</t>
  </si>
  <si>
    <t>[WRG]</t>
  </si>
  <si>
    <t>Wrangell,AK</t>
  </si>
  <si>
    <t>[YAK]</t>
  </si>
  <si>
    <t>Yakutat,AK</t>
  </si>
  <si>
    <t>[DMA]</t>
  </si>
  <si>
    <t>Davis-M</t>
  </si>
  <si>
    <t>AFB,AZ</t>
  </si>
  <si>
    <t>[DVT]</t>
  </si>
  <si>
    <t>Deer</t>
  </si>
  <si>
    <t>Valley,AZ</t>
  </si>
  <si>
    <t>[DUG]</t>
  </si>
  <si>
    <t>Douglas,AZ</t>
  </si>
  <si>
    <t>[FFZ]</t>
  </si>
  <si>
    <t>Falcon</t>
  </si>
  <si>
    <t>Fld,AZ</t>
  </si>
  <si>
    <t>[FLG]</t>
  </si>
  <si>
    <t>Flagstaff,AZ</t>
  </si>
  <si>
    <t>[FHU]</t>
  </si>
  <si>
    <t>Huachuc,AZ</t>
  </si>
  <si>
    <t>[GBN]</t>
  </si>
  <si>
    <t>Gila</t>
  </si>
  <si>
    <t>Bend,AZ</t>
  </si>
  <si>
    <t>[GYR]</t>
  </si>
  <si>
    <t>Goodyear,AZ</t>
  </si>
  <si>
    <t>[GCN]</t>
  </si>
  <si>
    <t>Grand</t>
  </si>
  <si>
    <t>Canyon,AZ</t>
  </si>
  <si>
    <t>[IGM]</t>
  </si>
  <si>
    <t>Kingman,AZ</t>
  </si>
  <si>
    <t>[LUF]</t>
  </si>
  <si>
    <t>Luke,AZ</t>
  </si>
  <si>
    <t>[PGA]</t>
  </si>
  <si>
    <t>Page,AZ</t>
  </si>
  <si>
    <t>[0E4]</t>
  </si>
  <si>
    <t>Payson,AZ</t>
  </si>
  <si>
    <t>[PHX]</t>
  </si>
  <si>
    <t>Phoenix,AZ</t>
  </si>
  <si>
    <t>[PRC]</t>
  </si>
  <si>
    <t>Prescott,AZ</t>
  </si>
  <si>
    <t>[E74]</t>
  </si>
  <si>
    <t>Safford</t>
  </si>
  <si>
    <t>Awrs,AZ</t>
  </si>
  <si>
    <t>[SDL]</t>
  </si>
  <si>
    <t>Scottsdale,AZ</t>
  </si>
  <si>
    <t>[E03]</t>
  </si>
  <si>
    <t>Show</t>
  </si>
  <si>
    <t>Low,AZ</t>
  </si>
  <si>
    <t>[SOW]</t>
  </si>
  <si>
    <t>[TUS]</t>
  </si>
  <si>
    <t>Tucson,AZ</t>
  </si>
  <si>
    <t>[CHD]</t>
  </si>
  <si>
    <t>Williams</t>
  </si>
  <si>
    <t>[INW]</t>
  </si>
  <si>
    <t>Winslow,AZ</t>
  </si>
  <si>
    <t>[YUM]</t>
  </si>
  <si>
    <t>Yuma,AZ</t>
  </si>
  <si>
    <t>[NYL]</t>
  </si>
  <si>
    <t>Yuma</t>
  </si>
  <si>
    <t>Mcas,AZ</t>
  </si>
  <si>
    <t>[1Y7]</t>
  </si>
  <si>
    <t>Prv</t>
  </si>
  <si>
    <t>Gd,AZ</t>
  </si>
  <si>
    <t>[BYH]</t>
  </si>
  <si>
    <t>Blytheville,AR</t>
  </si>
  <si>
    <t>[CDH]</t>
  </si>
  <si>
    <t>Camden,AR</t>
  </si>
  <si>
    <t>[ELD]</t>
  </si>
  <si>
    <t>El</t>
  </si>
  <si>
    <t>Dorado,AR</t>
  </si>
  <si>
    <t>[FYV]</t>
  </si>
  <si>
    <t>Fayetteville,AR</t>
  </si>
  <si>
    <t>[FSM]</t>
  </si>
  <si>
    <t>Ft</t>
  </si>
  <si>
    <t>Smith,AR</t>
  </si>
  <si>
    <t>[HRO]</t>
  </si>
  <si>
    <t>Harrison,AR</t>
  </si>
  <si>
    <t>[HOT]</t>
  </si>
  <si>
    <t>Hot</t>
  </si>
  <si>
    <t>Springs,AR</t>
  </si>
  <si>
    <t>[JBR]</t>
  </si>
  <si>
    <t>Jonesboro,AR</t>
  </si>
  <si>
    <t>[LIT]</t>
  </si>
  <si>
    <t>Little</t>
  </si>
  <si>
    <t>Rock,AR</t>
  </si>
  <si>
    <t>[LRF]</t>
  </si>
  <si>
    <t>[LZK]</t>
  </si>
  <si>
    <t>[PBF]</t>
  </si>
  <si>
    <t>Pine</t>
  </si>
  <si>
    <t>Bluff,AR</t>
  </si>
  <si>
    <t>[ASG]</t>
  </si>
  <si>
    <t>Springdale,AR</t>
  </si>
  <si>
    <t>[TXK]</t>
  </si>
  <si>
    <t>Texarkana,AR</t>
  </si>
  <si>
    <t>[ARG]</t>
  </si>
  <si>
    <t>Walnut</t>
  </si>
  <si>
    <t>Ridge,AR</t>
  </si>
  <si>
    <t>[NGZ]</t>
  </si>
  <si>
    <t>Alameda</t>
  </si>
  <si>
    <t>NAS,CA</t>
  </si>
  <si>
    <t>[S11]</t>
  </si>
  <si>
    <t>Alturas,CA</t>
  </si>
  <si>
    <t>[ACV]</t>
  </si>
  <si>
    <t>Arcata,CA</t>
  </si>
  <si>
    <t>[BFL]</t>
  </si>
  <si>
    <t>Bakersfield,CA</t>
  </si>
  <si>
    <t>[BAB]</t>
  </si>
  <si>
    <t>Beale</t>
  </si>
  <si>
    <t>AFB,CA</t>
  </si>
  <si>
    <t>[BUO]</t>
  </si>
  <si>
    <t>Beaumont,CA</t>
  </si>
  <si>
    <t>[BYS]</t>
  </si>
  <si>
    <t>Bicycle</t>
  </si>
  <si>
    <t>Lk,CA</t>
  </si>
  <si>
    <t>[L35]</t>
  </si>
  <si>
    <t>Bear</t>
  </si>
  <si>
    <t>Apt,CA</t>
  </si>
  <si>
    <t>[BIH]</t>
  </si>
  <si>
    <t>Bishop,CA</t>
  </si>
  <si>
    <t>[BLU]</t>
  </si>
  <si>
    <t>Blue</t>
  </si>
  <si>
    <t>Canyon,CA</t>
  </si>
  <si>
    <t>[BLH]</t>
  </si>
  <si>
    <t>Blythe,CA</t>
  </si>
  <si>
    <t>[BUR]</t>
  </si>
  <si>
    <t>Burbank,CA</t>
  </si>
  <si>
    <t>[NFG]</t>
  </si>
  <si>
    <t>Camp</t>
  </si>
  <si>
    <t>Pendlet,CA</t>
  </si>
  <si>
    <t>[CZZ]</t>
  </si>
  <si>
    <t>Campo,CA</t>
  </si>
  <si>
    <t>[CRQ]</t>
  </si>
  <si>
    <t>Carlsbad,CA</t>
  </si>
  <si>
    <t>[MER]</t>
  </si>
  <si>
    <t>Castle</t>
  </si>
  <si>
    <t>[CIC]</t>
  </si>
  <si>
    <t>Chico,CA</t>
  </si>
  <si>
    <t>[NID]</t>
  </si>
  <si>
    <t>China</t>
  </si>
  <si>
    <t>Lake,CA</t>
  </si>
  <si>
    <t>[CNO]</t>
  </si>
  <si>
    <t>Chino,CA</t>
  </si>
  <si>
    <t>[CCR]</t>
  </si>
  <si>
    <t>Concord,CA</t>
  </si>
  <si>
    <t>[CEC]</t>
  </si>
  <si>
    <t>Crescent</t>
  </si>
  <si>
    <t>Cty,CA</t>
  </si>
  <si>
    <t>[DAG]</t>
  </si>
  <si>
    <t>Daggett,CA</t>
  </si>
  <si>
    <t>[EDW]</t>
  </si>
  <si>
    <t>Edwards</t>
  </si>
  <si>
    <t>[NJK]</t>
  </si>
  <si>
    <t>Centro,CA</t>
  </si>
  <si>
    <t>[EMT]</t>
  </si>
  <si>
    <t>Monte,CA</t>
  </si>
  <si>
    <t>[NZJ]</t>
  </si>
  <si>
    <t>Toro,CA</t>
  </si>
  <si>
    <t>[EKA]</t>
  </si>
  <si>
    <t>Eureka,CA</t>
  </si>
  <si>
    <t>[HGT]</t>
  </si>
  <si>
    <t>Hunter,CA</t>
  </si>
  <si>
    <t>[OAR]</t>
  </si>
  <si>
    <t>Ord,CA</t>
  </si>
  <si>
    <t>[FAT]</t>
  </si>
  <si>
    <t>Fresno,CA</t>
  </si>
  <si>
    <t>[FUL]</t>
  </si>
  <si>
    <t>Fullerton,CA</t>
  </si>
  <si>
    <t>[VCV]</t>
  </si>
  <si>
    <t>George</t>
  </si>
  <si>
    <t>[HHR]</t>
  </si>
  <si>
    <t>Hawthorne,CA</t>
  </si>
  <si>
    <t>[HWD]</t>
  </si>
  <si>
    <t>Hayward,CA</t>
  </si>
  <si>
    <t>[IPL]</t>
  </si>
  <si>
    <t>Imperial,CA</t>
  </si>
  <si>
    <t>[NRS]</t>
  </si>
  <si>
    <t>Imperial</t>
  </si>
  <si>
    <t>Bch,CA</t>
  </si>
  <si>
    <t>[POC]</t>
  </si>
  <si>
    <t>La</t>
  </si>
  <si>
    <t>Verne,CA</t>
  </si>
  <si>
    <t>[TVL]</t>
  </si>
  <si>
    <t>Lake</t>
  </si>
  <si>
    <t>Tahoe,CA</t>
  </si>
  <si>
    <t>[WJF]</t>
  </si>
  <si>
    <t>Lancaster,CA</t>
  </si>
  <si>
    <t>[NLC]</t>
  </si>
  <si>
    <t>Lemoore</t>
  </si>
  <si>
    <t>[LVK]</t>
  </si>
  <si>
    <t>Livermore,CA</t>
  </si>
  <si>
    <t>[LGB]</t>
  </si>
  <si>
    <t>Long</t>
  </si>
  <si>
    <t>Beach,CA</t>
  </si>
  <si>
    <t>[SLI]</t>
  </si>
  <si>
    <t>Los</t>
  </si>
  <si>
    <t>Alamitos,CA</t>
  </si>
  <si>
    <t>[LAX]</t>
  </si>
  <si>
    <t>Angeles,CA</t>
  </si>
  <si>
    <t>[MMH]</t>
  </si>
  <si>
    <t>Mammoth</t>
  </si>
  <si>
    <t>Lks,CA</t>
  </si>
  <si>
    <t>[RIV]</t>
  </si>
  <si>
    <t>March</t>
  </si>
  <si>
    <t>[MYV]</t>
  </si>
  <si>
    <t>Marysville,CA</t>
  </si>
  <si>
    <t>[MHR]</t>
  </si>
  <si>
    <t>Mather</t>
  </si>
  <si>
    <t>[MCC]</t>
  </si>
  <si>
    <t>Mcclellan,CA</t>
  </si>
  <si>
    <t>[MCE]</t>
  </si>
  <si>
    <t>Merced,CA</t>
  </si>
  <si>
    <t>[NKX]</t>
  </si>
  <si>
    <t>Miramar</t>
  </si>
  <si>
    <t>[MOD]</t>
  </si>
  <si>
    <t>Modesto,CA</t>
  </si>
  <si>
    <t>[NUQ]</t>
  </si>
  <si>
    <t>Moffet</t>
  </si>
  <si>
    <t>[MHV]</t>
  </si>
  <si>
    <t>Mojave,CA</t>
  </si>
  <si>
    <t>[1O5]</t>
  </si>
  <si>
    <t>Montague,CA</t>
  </si>
  <si>
    <t>[MRY]</t>
  </si>
  <si>
    <t>Monterey,CA</t>
  </si>
  <si>
    <t>[MHS]</t>
  </si>
  <si>
    <t>Mount</t>
  </si>
  <si>
    <t>Shasta,CA</t>
  </si>
  <si>
    <t>[MWS]</t>
  </si>
  <si>
    <t>Wilson,CA</t>
  </si>
  <si>
    <t>[APC]</t>
  </si>
  <si>
    <t>Napa,CA</t>
  </si>
  <si>
    <t>[EED]</t>
  </si>
  <si>
    <t>Needles,CA</t>
  </si>
  <si>
    <t>[NZY]</t>
  </si>
  <si>
    <t>Is,CA</t>
  </si>
  <si>
    <t>[SBD]</t>
  </si>
  <si>
    <t>Norton</t>
  </si>
  <si>
    <t>[OAK]</t>
  </si>
  <si>
    <t>Oakland,CA</t>
  </si>
  <si>
    <t>[ONT]</t>
  </si>
  <si>
    <t>Ontario</t>
  </si>
  <si>
    <t>Intl,CA</t>
  </si>
  <si>
    <t>[OXR]</t>
  </si>
  <si>
    <t>Oxnard,CA</t>
  </si>
  <si>
    <t>[PSP]</t>
  </si>
  <si>
    <t>Palm</t>
  </si>
  <si>
    <t>Springs,CA</t>
  </si>
  <si>
    <t>[PMD]</t>
  </si>
  <si>
    <t>Palmdale,CA</t>
  </si>
  <si>
    <t>[PAO]</t>
  </si>
  <si>
    <t>Palo</t>
  </si>
  <si>
    <t>Alto,CA</t>
  </si>
  <si>
    <t>[PRB]</t>
  </si>
  <si>
    <t>Paso</t>
  </si>
  <si>
    <t>Robles,CA</t>
  </si>
  <si>
    <t>[53Q]</t>
  </si>
  <si>
    <t>Pillaro</t>
  </si>
  <si>
    <t>Pt,CA</t>
  </si>
  <si>
    <t>[NTD]</t>
  </si>
  <si>
    <t>Mugu,CA</t>
  </si>
  <si>
    <t>[PAA]</t>
  </si>
  <si>
    <t>Arena,CA</t>
  </si>
  <si>
    <t>[PGU]</t>
  </si>
  <si>
    <t>Arguello,CA</t>
  </si>
  <si>
    <t>[87Q]</t>
  </si>
  <si>
    <t>Piedras,CA</t>
  </si>
  <si>
    <t>[PPD]</t>
  </si>
  <si>
    <t>[RBL]</t>
  </si>
  <si>
    <t>Red</t>
  </si>
  <si>
    <t>Bluff,CA</t>
  </si>
  <si>
    <t>[RDD]</t>
  </si>
  <si>
    <t>Redding,CA</t>
  </si>
  <si>
    <t>[RAL]</t>
  </si>
  <si>
    <t>Riverside,CA</t>
  </si>
  <si>
    <t>[SAC]</t>
  </si>
  <si>
    <t>Sacramento,CA</t>
  </si>
  <si>
    <t>[SMF]</t>
  </si>
  <si>
    <t>[SNS]</t>
  </si>
  <si>
    <t>Salinas,CA</t>
  </si>
  <si>
    <t>[SQL]</t>
  </si>
  <si>
    <t>San</t>
  </si>
  <si>
    <t>Carlos,CA</t>
  </si>
  <si>
    <t>[L10]</t>
  </si>
  <si>
    <t>Clemente,CA</t>
  </si>
  <si>
    <t>[NUC]</t>
  </si>
  <si>
    <t>[MYF]</t>
  </si>
  <si>
    <t>Diego,CA</t>
  </si>
  <si>
    <t>[SAN]</t>
  </si>
  <si>
    <t>[SDM]</t>
  </si>
  <si>
    <t>[SEE]</t>
  </si>
  <si>
    <t>[51Q]</t>
  </si>
  <si>
    <t>Francisco,CA</t>
  </si>
  <si>
    <t>[SFO]</t>
  </si>
  <si>
    <t>[SJC]</t>
  </si>
  <si>
    <t>Jose,CA</t>
  </si>
  <si>
    <t>[RHV]</t>
  </si>
  <si>
    <t>Jose/Rei,CA</t>
  </si>
  <si>
    <t>[SBP]</t>
  </si>
  <si>
    <t>Luis</t>
  </si>
  <si>
    <t>Obi,CA</t>
  </si>
  <si>
    <t>[L98]</t>
  </si>
  <si>
    <t>Mateo,CA</t>
  </si>
  <si>
    <t>[N5G]</t>
  </si>
  <si>
    <t>Miguel,CA</t>
  </si>
  <si>
    <t>[NSI]</t>
  </si>
  <si>
    <t>Nic</t>
  </si>
  <si>
    <t>Isl,CA</t>
  </si>
  <si>
    <t>[SDB]</t>
  </si>
  <si>
    <t>Sandburg,CA</t>
  </si>
  <si>
    <t>[SNA]</t>
  </si>
  <si>
    <t>Santa</t>
  </si>
  <si>
    <t>Ana,CA</t>
  </si>
  <si>
    <t>[SBA]</t>
  </si>
  <si>
    <t>Barb,CA</t>
  </si>
  <si>
    <t>[SMX]</t>
  </si>
  <si>
    <t>Maria,CA</t>
  </si>
  <si>
    <t>[SMO]</t>
  </si>
  <si>
    <t>Monica,CA</t>
  </si>
  <si>
    <t>[STS]</t>
  </si>
  <si>
    <t>Rosa,CA</t>
  </si>
  <si>
    <t>[O87]</t>
  </si>
  <si>
    <t>Shelter</t>
  </si>
  <si>
    <t>Cove,CA</t>
  </si>
  <si>
    <t>[SIY]</t>
  </si>
  <si>
    <t>Siskiyou,CA</t>
  </si>
  <si>
    <t>[SCK]</t>
  </si>
  <si>
    <t>Stockton,CA</t>
  </si>
  <si>
    <t>[4SU]</t>
  </si>
  <si>
    <t>Superior</t>
  </si>
  <si>
    <t>Val,CA</t>
  </si>
  <si>
    <t>[SVE]</t>
  </si>
  <si>
    <t>Susanville,CA</t>
  </si>
  <si>
    <t>[TRM]</t>
  </si>
  <si>
    <t>Thermal,CA</t>
  </si>
  <si>
    <t>[TOA]</t>
  </si>
  <si>
    <t>Torrance,CA</t>
  </si>
  <si>
    <t>[SUU]</t>
  </si>
  <si>
    <t>Travis</t>
  </si>
  <si>
    <t>[TRK]</t>
  </si>
  <si>
    <t>Truckee-Tahoe,CA</t>
  </si>
  <si>
    <t>[NTK]</t>
  </si>
  <si>
    <t>Tustin</t>
  </si>
  <si>
    <t>Mcas,CA</t>
  </si>
  <si>
    <t>[NXP]</t>
  </si>
  <si>
    <t>Twenty9</t>
  </si>
  <si>
    <t>Palm,CA</t>
  </si>
  <si>
    <t>[UKI]</t>
  </si>
  <si>
    <t>Ukiah,CA</t>
  </si>
  <si>
    <t>[VNY]</t>
  </si>
  <si>
    <t>Van</t>
  </si>
  <si>
    <t>Nuys,CA</t>
  </si>
  <si>
    <t>[VBG]</t>
  </si>
  <si>
    <t>Vandenberg,CA</t>
  </si>
  <si>
    <t>[VIS]</t>
  </si>
  <si>
    <t>Visalia,CA</t>
  </si>
  <si>
    <t>[AFF]</t>
  </si>
  <si>
    <t>Air</t>
  </si>
  <si>
    <t>Force</t>
  </si>
  <si>
    <t>A,CO</t>
  </si>
  <si>
    <t>[AKO]</t>
  </si>
  <si>
    <t>Akron,CO</t>
  </si>
  <si>
    <t>[ALS]</t>
  </si>
  <si>
    <t>Alamosa,CO</t>
  </si>
  <si>
    <t>[ASE]</t>
  </si>
  <si>
    <t>Aspen,CO</t>
  </si>
  <si>
    <t>[BJC]</t>
  </si>
  <si>
    <t>Brmfield/Jef,CO</t>
  </si>
  <si>
    <t>[BKF]</t>
  </si>
  <si>
    <t>Buckley,CO</t>
  </si>
  <si>
    <t>[COS]</t>
  </si>
  <si>
    <t>Colo</t>
  </si>
  <si>
    <t>Sprgs,CO</t>
  </si>
  <si>
    <t>[CEZ]</t>
  </si>
  <si>
    <t>Cortez,CO</t>
  </si>
  <si>
    <t>[CAG]</t>
  </si>
  <si>
    <t>Craig-Moffat,CO</t>
  </si>
  <si>
    <t>[DEN]</t>
  </si>
  <si>
    <t>Denver,CO</t>
  </si>
  <si>
    <t>[DRO]</t>
  </si>
  <si>
    <t>Durango,CO</t>
  </si>
  <si>
    <t>[EGE]</t>
  </si>
  <si>
    <t>Eagle,CO</t>
  </si>
  <si>
    <t>[APA]</t>
  </si>
  <si>
    <t>Englewood,CO</t>
  </si>
  <si>
    <t>[FCS]</t>
  </si>
  <si>
    <t>Carson,CO</t>
  </si>
  <si>
    <t>[FSR]</t>
  </si>
  <si>
    <t>Fraser,CO</t>
  </si>
  <si>
    <t>[FNL]</t>
  </si>
  <si>
    <t>Col/Lovel,CO</t>
  </si>
  <si>
    <t>[FCL]</t>
  </si>
  <si>
    <t>Collins,CO</t>
  </si>
  <si>
    <t>[GJT]</t>
  </si>
  <si>
    <t>Jct,CO</t>
  </si>
  <si>
    <t>[GXY]</t>
  </si>
  <si>
    <t>Greeley-Wld,CO</t>
  </si>
  <si>
    <t>[2V9]</t>
  </si>
  <si>
    <t>Gunnison,CO</t>
  </si>
  <si>
    <t>[GUC]</t>
  </si>
  <si>
    <t>[LHX]</t>
  </si>
  <si>
    <t>Junta,CO</t>
  </si>
  <si>
    <t>[4LJ]</t>
  </si>
  <si>
    <t>Lamar,CO</t>
  </si>
  <si>
    <t>[LXV]</t>
  </si>
  <si>
    <t>Leadville,CO</t>
  </si>
  <si>
    <t>[LIC]</t>
  </si>
  <si>
    <t>Limon,CO</t>
  </si>
  <si>
    <t>[6V8]</t>
  </si>
  <si>
    <t>Montrose,CO</t>
  </si>
  <si>
    <t>[MTJ]</t>
  </si>
  <si>
    <t>[PUB]</t>
  </si>
  <si>
    <t>Pueblo,CO</t>
  </si>
  <si>
    <t>[1V1]</t>
  </si>
  <si>
    <t>Rifle,CO</t>
  </si>
  <si>
    <t>[S29]</t>
  </si>
  <si>
    <t>Salida,CO</t>
  </si>
  <si>
    <t>[SBS]</t>
  </si>
  <si>
    <t>Steamboat</t>
  </si>
  <si>
    <t>Sp,CO</t>
  </si>
  <si>
    <t>[TAD]</t>
  </si>
  <si>
    <t>Trinidad,CO</t>
  </si>
  <si>
    <t>[C96]</t>
  </si>
  <si>
    <t>Winter</t>
  </si>
  <si>
    <t>Park,CO</t>
  </si>
  <si>
    <t>[BDR]</t>
  </si>
  <si>
    <t>Bridgeport,CT</t>
  </si>
  <si>
    <t>[DXR]</t>
  </si>
  <si>
    <t>Danbury,CT</t>
  </si>
  <si>
    <t>[GON]</t>
  </si>
  <si>
    <t>Groton,CT</t>
  </si>
  <si>
    <t>[HFD]</t>
  </si>
  <si>
    <t>Hartford,CT</t>
  </si>
  <si>
    <t>[30N]</t>
  </si>
  <si>
    <t>Haven,CT</t>
  </si>
  <si>
    <t>[HVN]</t>
  </si>
  <si>
    <t>[N11]</t>
  </si>
  <si>
    <t>[18N]</t>
  </si>
  <si>
    <t>London,CT</t>
  </si>
  <si>
    <t>[BDL]</t>
  </si>
  <si>
    <t>Windsor</t>
  </si>
  <si>
    <t>Loc,CT</t>
  </si>
  <si>
    <t>[DOV]</t>
  </si>
  <si>
    <t>Dover,DE</t>
  </si>
  <si>
    <t>[ILG]</t>
  </si>
  <si>
    <t>Wilmington,DE</t>
  </si>
  <si>
    <t>[IAD]</t>
  </si>
  <si>
    <t>Washington/Dulles,DC</t>
  </si>
  <si>
    <t>[DCA]</t>
  </si>
  <si>
    <t>Washington/Natl,DC</t>
  </si>
  <si>
    <t>[AQQ]</t>
  </si>
  <si>
    <t>Apalachicola,FL</t>
  </si>
  <si>
    <t>[90J]</t>
  </si>
  <si>
    <t>Astor</t>
  </si>
  <si>
    <t>NAS,FL</t>
  </si>
  <si>
    <t>[AGR]</t>
  </si>
  <si>
    <t>Avon</t>
  </si>
  <si>
    <t>Park</t>
  </si>
  <si>
    <t>G,FL</t>
  </si>
  <si>
    <t>[XMR]</t>
  </si>
  <si>
    <t>Canaveral,FL</t>
  </si>
  <si>
    <t>[NZC]</t>
  </si>
  <si>
    <t>Cecil,FL</t>
  </si>
  <si>
    <t>[CEW]</t>
  </si>
  <si>
    <t>Crestview,FL</t>
  </si>
  <si>
    <t>[CTY]</t>
  </si>
  <si>
    <t>Cross</t>
  </si>
  <si>
    <t>City,FL</t>
  </si>
  <si>
    <t>[DAB]</t>
  </si>
  <si>
    <t>Daytona</t>
  </si>
  <si>
    <t>Bch,FL</t>
  </si>
  <si>
    <t>[EGI]</t>
  </si>
  <si>
    <t>Duke</t>
  </si>
  <si>
    <t>Fld,FL</t>
  </si>
  <si>
    <t>[VPS]</t>
  </si>
  <si>
    <t>Eglin</t>
  </si>
  <si>
    <t>AFB,FL</t>
  </si>
  <si>
    <t>[X91]</t>
  </si>
  <si>
    <t>Egmont</t>
  </si>
  <si>
    <t>Key,FL</t>
  </si>
  <si>
    <t>[FXE]</t>
  </si>
  <si>
    <t>Lauderd,FL</t>
  </si>
  <si>
    <t>[FMY]</t>
  </si>
  <si>
    <t>Myers,FL</t>
  </si>
  <si>
    <t>[FLL]</t>
  </si>
  <si>
    <t>Lauderdale,FL</t>
  </si>
  <si>
    <t>[RSW]</t>
  </si>
  <si>
    <t>[GNV]</t>
  </si>
  <si>
    <t>Gainesville,FL</t>
  </si>
  <si>
    <t>[HST]</t>
  </si>
  <si>
    <t>Homestead,FL</t>
  </si>
  <si>
    <t>[HRT]</t>
  </si>
  <si>
    <t>Hurlburt</t>
  </si>
  <si>
    <t>[CRG]</t>
  </si>
  <si>
    <t>Jacksonville,FL</t>
  </si>
  <si>
    <t>[JAX]</t>
  </si>
  <si>
    <t>[NIP]</t>
  </si>
  <si>
    <t>[EYW]</t>
  </si>
  <si>
    <t>Key</t>
  </si>
  <si>
    <t>West,FL</t>
  </si>
  <si>
    <t>[NQX]</t>
  </si>
  <si>
    <t>[LAL]</t>
  </si>
  <si>
    <t>Lakeland,FL</t>
  </si>
  <si>
    <t>[MCF]</t>
  </si>
  <si>
    <t>Macdill</t>
  </si>
  <si>
    <t>[MAI]</t>
  </si>
  <si>
    <t>Marianna,FL</t>
  </si>
  <si>
    <t>[NRB]</t>
  </si>
  <si>
    <t>Mayport</t>
  </si>
  <si>
    <t>[MLB]</t>
  </si>
  <si>
    <t>Melbourne,FL</t>
  </si>
  <si>
    <t>[MIA]</t>
  </si>
  <si>
    <t>Miami</t>
  </si>
  <si>
    <t>Intl,FL</t>
  </si>
  <si>
    <t>[OPF]</t>
  </si>
  <si>
    <t>Miami/Opa,FL</t>
  </si>
  <si>
    <t>[TMB]</t>
  </si>
  <si>
    <t>Miami/Tamiami,FL</t>
  </si>
  <si>
    <t>[APF]</t>
  </si>
  <si>
    <t>Naples,FL</t>
  </si>
  <si>
    <t>[X68]</t>
  </si>
  <si>
    <t>Nasa</t>
  </si>
  <si>
    <t>Shuttle,FL</t>
  </si>
  <si>
    <t>[MCO]</t>
  </si>
  <si>
    <t>Orlando,FL</t>
  </si>
  <si>
    <t>[ORL]</t>
  </si>
  <si>
    <t>[PFN]</t>
  </si>
  <si>
    <t>Panama</t>
  </si>
  <si>
    <t>[COF]</t>
  </si>
  <si>
    <t>Patrick</t>
  </si>
  <si>
    <t>[NPA]</t>
  </si>
  <si>
    <t>Pensacola,FL</t>
  </si>
  <si>
    <t>[PNS]</t>
  </si>
  <si>
    <t>[TBW]</t>
  </si>
  <si>
    <t>Ruskin,FL</t>
  </si>
  <si>
    <t>[PIE]</t>
  </si>
  <si>
    <t>Saint</t>
  </si>
  <si>
    <t>Peters,FL</t>
  </si>
  <si>
    <t>[SFB]</t>
  </si>
  <si>
    <t>Sanford,FL</t>
  </si>
  <si>
    <t>[SRQ]</t>
  </si>
  <si>
    <t>Sarasota,FL</t>
  </si>
  <si>
    <t>[TLH]</t>
  </si>
  <si>
    <t>Tallahassee,FL</t>
  </si>
  <si>
    <t>[TPA]</t>
  </si>
  <si>
    <t>Tampa</t>
  </si>
  <si>
    <t>[TIX]</t>
  </si>
  <si>
    <t>Titusville,FL</t>
  </si>
  <si>
    <t>[PAM]</t>
  </si>
  <si>
    <t>Tyndall</t>
  </si>
  <si>
    <t>[VRB]</t>
  </si>
  <si>
    <t>Vero</t>
  </si>
  <si>
    <t>Beach,FL</t>
  </si>
  <si>
    <t>[PBI]</t>
  </si>
  <si>
    <t>W</t>
  </si>
  <si>
    <t>[NSE]</t>
  </si>
  <si>
    <t>Whiting</t>
  </si>
  <si>
    <t>[ABY]</t>
  </si>
  <si>
    <t>Albany,GA</t>
  </si>
  <si>
    <t>[AMG]</t>
  </si>
  <si>
    <t>Alma,GA</t>
  </si>
  <si>
    <t>[AHN]</t>
  </si>
  <si>
    <t>Athens,GA</t>
  </si>
  <si>
    <t>[ATL]</t>
  </si>
  <si>
    <t>Atlanta,GA</t>
  </si>
  <si>
    <t>[PDK]</t>
  </si>
  <si>
    <t>Atlanta/Dklb,GA</t>
  </si>
  <si>
    <t>[FTY]</t>
  </si>
  <si>
    <t>Atlanta/Fltn,GA</t>
  </si>
  <si>
    <t>[AGS]</t>
  </si>
  <si>
    <t>Augusta/Bush,GA</t>
  </si>
  <si>
    <t>[SSI]</t>
  </si>
  <si>
    <t>Brunswick,GA</t>
  </si>
  <si>
    <t>[CSG]</t>
  </si>
  <si>
    <t>Columbus,GA</t>
  </si>
  <si>
    <t>[MGE]</t>
  </si>
  <si>
    <t>Dobbins</t>
  </si>
  <si>
    <t>AFB,GA</t>
  </si>
  <si>
    <t>[MGF]</t>
  </si>
  <si>
    <t>[LSF]</t>
  </si>
  <si>
    <t>Benning,GA</t>
  </si>
  <si>
    <t>[LHW]</t>
  </si>
  <si>
    <t>Stewart,GA</t>
  </si>
  <si>
    <t>[SVN]</t>
  </si>
  <si>
    <t>Hunter</t>
  </si>
  <si>
    <t>Aaf,GA</t>
  </si>
  <si>
    <t>[LGC]</t>
  </si>
  <si>
    <t>Grange,GA</t>
  </si>
  <si>
    <t>[MCN]</t>
  </si>
  <si>
    <t>Macon/Lewis,GA</t>
  </si>
  <si>
    <t>[VAD]</t>
  </si>
  <si>
    <t>Moody</t>
  </si>
  <si>
    <t>[WRB]</t>
  </si>
  <si>
    <t>Robins</t>
  </si>
  <si>
    <t>[RMG]</t>
  </si>
  <si>
    <t>Rome/Russell,GA</t>
  </si>
  <si>
    <t>[SAV]</t>
  </si>
  <si>
    <t>Savannah</t>
  </si>
  <si>
    <t>Mun,GA</t>
  </si>
  <si>
    <t>[VLD]</t>
  </si>
  <si>
    <t>Valdosta,GA</t>
  </si>
  <si>
    <t>[AYS]</t>
  </si>
  <si>
    <t>Waycross,GA</t>
  </si>
  <si>
    <t>[HNA]</t>
  </si>
  <si>
    <t>Barbers</t>
  </si>
  <si>
    <t>Pt,HI</t>
  </si>
  <si>
    <t>[BKH]</t>
  </si>
  <si>
    <t>Barking</t>
  </si>
  <si>
    <t>San,HI</t>
  </si>
  <si>
    <t>[1Z6]</t>
  </si>
  <si>
    <t>Fr</t>
  </si>
  <si>
    <t>Frigate,HI</t>
  </si>
  <si>
    <t>[ITO]</t>
  </si>
  <si>
    <t>Hilo,HI</t>
  </si>
  <si>
    <t>[HNL]</t>
  </si>
  <si>
    <t>Honolulu</t>
  </si>
  <si>
    <t>Int,HI</t>
  </si>
  <si>
    <t>[OGG]</t>
  </si>
  <si>
    <t>Kahului</t>
  </si>
  <si>
    <t>Maui,HI</t>
  </si>
  <si>
    <t>[HNG]</t>
  </si>
  <si>
    <t>Kaneohe</t>
  </si>
  <si>
    <t>Mca,HI</t>
  </si>
  <si>
    <t>[KOA]</t>
  </si>
  <si>
    <t>Ke-Ahole/Kon,HI</t>
  </si>
  <si>
    <t>[0Z5]</t>
  </si>
  <si>
    <t>Kilauea</t>
  </si>
  <si>
    <t>[LNY]</t>
  </si>
  <si>
    <t>Lanai-Lanai,HI</t>
  </si>
  <si>
    <t>[LIH]</t>
  </si>
  <si>
    <t>Lihue-Kauai,HI</t>
  </si>
  <si>
    <t>[JHM]</t>
  </si>
  <si>
    <t>[MKK]</t>
  </si>
  <si>
    <t>Molokai,HI</t>
  </si>
  <si>
    <t>[1Z2]</t>
  </si>
  <si>
    <t>Upolo</t>
  </si>
  <si>
    <t>Ln,HI</t>
  </si>
  <si>
    <t>[MUE]</t>
  </si>
  <si>
    <t>Waimea-Koha,HI</t>
  </si>
  <si>
    <t>[BOI]</t>
  </si>
  <si>
    <t>Boise,ID</t>
  </si>
  <si>
    <t>[BYI]</t>
  </si>
  <si>
    <t>Burley,ID</t>
  </si>
  <si>
    <t>[U15]</t>
  </si>
  <si>
    <t>Challis,ID</t>
  </si>
  <si>
    <t>[COE]</t>
  </si>
  <si>
    <t>Coeur</t>
  </si>
  <si>
    <t>d'Alene,ID</t>
  </si>
  <si>
    <t>[P69]</t>
  </si>
  <si>
    <t>Elk</t>
  </si>
  <si>
    <t>City,ID</t>
  </si>
  <si>
    <t>[GNG]</t>
  </si>
  <si>
    <t>Gooding,ID</t>
  </si>
  <si>
    <t>[S80]</t>
  </si>
  <si>
    <t>Grangeville,ID</t>
  </si>
  <si>
    <t>[IDA]</t>
  </si>
  <si>
    <t>Falls,ID</t>
  </si>
  <si>
    <t>[LWS]</t>
  </si>
  <si>
    <t>Lewiston,ID</t>
  </si>
  <si>
    <t>[MLD]</t>
  </si>
  <si>
    <t>Malad</t>
  </si>
  <si>
    <t>[77M]</t>
  </si>
  <si>
    <t>Malta,ID</t>
  </si>
  <si>
    <t>[MYL]</t>
  </si>
  <si>
    <t>Mccall,ID</t>
  </si>
  <si>
    <t>[MUO]</t>
  </si>
  <si>
    <t>Mountn</t>
  </si>
  <si>
    <t>Home,ID</t>
  </si>
  <si>
    <t>[S06]</t>
  </si>
  <si>
    <t>Mullan,ID</t>
  </si>
  <si>
    <t>[PIH]</t>
  </si>
  <si>
    <t>Pocatello,ID</t>
  </si>
  <si>
    <t>[27U]</t>
  </si>
  <si>
    <t>Salmon,ID</t>
  </si>
  <si>
    <t>[SMN]</t>
  </si>
  <si>
    <t>[U78]</t>
  </si>
  <si>
    <t>Soda</t>
  </si>
  <si>
    <t>Springs,ID</t>
  </si>
  <si>
    <t>[SUN]</t>
  </si>
  <si>
    <t>Sun</t>
  </si>
  <si>
    <t>Valley,ID</t>
  </si>
  <si>
    <t>[TWF]</t>
  </si>
  <si>
    <t>Twin</t>
  </si>
  <si>
    <t>[ALN]</t>
  </si>
  <si>
    <t>Alton,IL</t>
  </si>
  <si>
    <t>[ARR]</t>
  </si>
  <si>
    <t>Aurora,IL</t>
  </si>
  <si>
    <t>[CPS]</t>
  </si>
  <si>
    <t>Bistate</t>
  </si>
  <si>
    <t>Park,IL</t>
  </si>
  <si>
    <t>[BMI]</t>
  </si>
  <si>
    <t>Bloomington,IL</t>
  </si>
  <si>
    <t>[BDF]</t>
  </si>
  <si>
    <t>Bradford,IL</t>
  </si>
  <si>
    <t>[CTR]</t>
  </si>
  <si>
    <t>Cairo,IL</t>
  </si>
  <si>
    <t>[MDH]</t>
  </si>
  <si>
    <t>Carbondale,IL</t>
  </si>
  <si>
    <t>[ENL]</t>
  </si>
  <si>
    <t>Centralia,IL</t>
  </si>
  <si>
    <t>[CMI]</t>
  </si>
  <si>
    <t>Champaign/Urbana,IL</t>
  </si>
  <si>
    <t>[CHI]</t>
  </si>
  <si>
    <t>Chicago,IL</t>
  </si>
  <si>
    <t>[CGX]</t>
  </si>
  <si>
    <t>Chicago/Meigs,IL</t>
  </si>
  <si>
    <t>[MDW]</t>
  </si>
  <si>
    <t>Chicago/Midway,IL</t>
  </si>
  <si>
    <t>[ORD]</t>
  </si>
  <si>
    <t>Chicago/O'hare,IL</t>
  </si>
  <si>
    <t>[DNV]</t>
  </si>
  <si>
    <t>Danville,IL</t>
  </si>
  <si>
    <t>[DKB]</t>
  </si>
  <si>
    <t>DeKalb,IL</t>
  </si>
  <si>
    <t>[DEC]</t>
  </si>
  <si>
    <t>Decatur,IL</t>
  </si>
  <si>
    <t>[DPA]</t>
  </si>
  <si>
    <t>Du</t>
  </si>
  <si>
    <t>Page,IL</t>
  </si>
  <si>
    <t>[GBG]</t>
  </si>
  <si>
    <t>Galesburg,IL</t>
  </si>
  <si>
    <t>[NBU]</t>
  </si>
  <si>
    <t>Glenview</t>
  </si>
  <si>
    <t>NAS,IL</t>
  </si>
  <si>
    <t>[IKK]</t>
  </si>
  <si>
    <t>Kankakee,IL</t>
  </si>
  <si>
    <t>[MQB]</t>
  </si>
  <si>
    <t>Macomb,IL</t>
  </si>
  <si>
    <t>[MWA]</t>
  </si>
  <si>
    <t>Marion,IL</t>
  </si>
  <si>
    <t>[MMO]</t>
  </si>
  <si>
    <t>Marseilles,IL</t>
  </si>
  <si>
    <t>[MTO]</t>
  </si>
  <si>
    <t>Mattoon,IL</t>
  </si>
  <si>
    <t>[MLI]</t>
  </si>
  <si>
    <t>Moline/Quad,IL</t>
  </si>
  <si>
    <t>[MVN]</t>
  </si>
  <si>
    <t>Vernon,IL</t>
  </si>
  <si>
    <t>[PIA]</t>
  </si>
  <si>
    <t>Peoria,IL</t>
  </si>
  <si>
    <t>[UIN]</t>
  </si>
  <si>
    <t>Quincy,IL</t>
  </si>
  <si>
    <t>[RFD]</t>
  </si>
  <si>
    <t>Rockford,IL</t>
  </si>
  <si>
    <t>[SLO]</t>
  </si>
  <si>
    <t>Salem,IL</t>
  </si>
  <si>
    <t>[BLV]</t>
  </si>
  <si>
    <t>Scott</t>
  </si>
  <si>
    <t>AFB,IL</t>
  </si>
  <si>
    <t>[SPI]</t>
  </si>
  <si>
    <t>Springfield,IL</t>
  </si>
  <si>
    <t>[SQI]</t>
  </si>
  <si>
    <t>Sterling,IL</t>
  </si>
  <si>
    <t>[TAZ]</t>
  </si>
  <si>
    <t>Taylorville,IL</t>
  </si>
  <si>
    <t>[VLA]</t>
  </si>
  <si>
    <t>Vandalia,IL</t>
  </si>
  <si>
    <t>[BAK]</t>
  </si>
  <si>
    <t>Bakalar</t>
  </si>
  <si>
    <t>Af,IN</t>
  </si>
  <si>
    <t>[BMG]</t>
  </si>
  <si>
    <t>Bloomington,IN</t>
  </si>
  <si>
    <t>[EKM]</t>
  </si>
  <si>
    <t>Elkhart,IN</t>
  </si>
  <si>
    <t>[EVV]</t>
  </si>
  <si>
    <t>Evansville,IN</t>
  </si>
  <si>
    <t>[FWA]</t>
  </si>
  <si>
    <t>Wayne,IN</t>
  </si>
  <si>
    <t>[GYY]</t>
  </si>
  <si>
    <t>Gary,IN</t>
  </si>
  <si>
    <t>[GUS]</t>
  </si>
  <si>
    <t>Grissom</t>
  </si>
  <si>
    <t>AFB,IN</t>
  </si>
  <si>
    <t>[IND]</t>
  </si>
  <si>
    <t>Indianapolis,IN</t>
  </si>
  <si>
    <t>[MIE]</t>
  </si>
  <si>
    <t>Muncie,IN</t>
  </si>
  <si>
    <t>[SBN]</t>
  </si>
  <si>
    <t>Bend,IN</t>
  </si>
  <si>
    <t>[HUF]</t>
  </si>
  <si>
    <t>Terre</t>
  </si>
  <si>
    <t>Haute,IN</t>
  </si>
  <si>
    <t>[LAF]</t>
  </si>
  <si>
    <t>Lafayette,IN</t>
  </si>
  <si>
    <t>[BRL]</t>
  </si>
  <si>
    <t>Burlington,IA</t>
  </si>
  <si>
    <t>[CID]</t>
  </si>
  <si>
    <t>Cedar</t>
  </si>
  <si>
    <t>Rapids,IA</t>
  </si>
  <si>
    <t>[DSM]</t>
  </si>
  <si>
    <t>Des</t>
  </si>
  <si>
    <t>Moines,IA</t>
  </si>
  <si>
    <t>[DBQ]</t>
  </si>
  <si>
    <t>Dubuque,IA</t>
  </si>
  <si>
    <t>[EST]</t>
  </si>
  <si>
    <t>Estherville,IA</t>
  </si>
  <si>
    <t>[FOD]</t>
  </si>
  <si>
    <t>Dodge,IA</t>
  </si>
  <si>
    <t>[3OI]</t>
  </si>
  <si>
    <t>Lamoni,IA</t>
  </si>
  <si>
    <t>[MCW]</t>
  </si>
  <si>
    <t>Mason</t>
  </si>
  <si>
    <t>City,IA</t>
  </si>
  <si>
    <t>[OTM]</t>
  </si>
  <si>
    <t>Ottumwa,IA</t>
  </si>
  <si>
    <t>[SUX]</t>
  </si>
  <si>
    <t>Sioux</t>
  </si>
  <si>
    <t>[3SE]</t>
  </si>
  <si>
    <t>Spencer,IA</t>
  </si>
  <si>
    <t>[ALO]</t>
  </si>
  <si>
    <t>Waterloo</t>
  </si>
  <si>
    <t>Mun,IA</t>
  </si>
  <si>
    <t>[CNU]</t>
  </si>
  <si>
    <t>Chanute,KS</t>
  </si>
  <si>
    <t>[3KM]</t>
  </si>
  <si>
    <t>Col.</t>
  </si>
  <si>
    <t>J</t>
  </si>
  <si>
    <t>Jabar,KS</t>
  </si>
  <si>
    <t>[CNK]</t>
  </si>
  <si>
    <t>Concordia,KS</t>
  </si>
  <si>
    <t>[DDC]</t>
  </si>
  <si>
    <t>Dodge</t>
  </si>
  <si>
    <t>City,KS</t>
  </si>
  <si>
    <t>[1K5]</t>
  </si>
  <si>
    <t>Elkhart,KS</t>
  </si>
  <si>
    <t>[EMP]</t>
  </si>
  <si>
    <t>Emporia,KS</t>
  </si>
  <si>
    <t>[FLV]</t>
  </si>
  <si>
    <t>Leavnwrth,KS</t>
  </si>
  <si>
    <t>[FRI]</t>
  </si>
  <si>
    <t>Riley,KS</t>
  </si>
  <si>
    <t>[GCK]</t>
  </si>
  <si>
    <t>Garden</t>
  </si>
  <si>
    <t>[GLD]</t>
  </si>
  <si>
    <t>Goodland,KS</t>
  </si>
  <si>
    <t>[HYS]</t>
  </si>
  <si>
    <t>Hays,KS</t>
  </si>
  <si>
    <t>[HLC]</t>
  </si>
  <si>
    <t>Hill</t>
  </si>
  <si>
    <t>[HUT]</t>
  </si>
  <si>
    <t>Hutchinson,KS</t>
  </si>
  <si>
    <t>[IXD]</t>
  </si>
  <si>
    <t>Johnson</t>
  </si>
  <si>
    <t>Cnty,KS</t>
  </si>
  <si>
    <t>[LBL]</t>
  </si>
  <si>
    <t>Liberal,KS</t>
  </si>
  <si>
    <t>[MHK]</t>
  </si>
  <si>
    <t>Manhatten,KS</t>
  </si>
  <si>
    <t>[IAB]</t>
  </si>
  <si>
    <t>Mcconnell</t>
  </si>
  <si>
    <t>Af,KS</t>
  </si>
  <si>
    <t>[P28]</t>
  </si>
  <si>
    <t>Medicine</t>
  </si>
  <si>
    <t>Ldg,KS</t>
  </si>
  <si>
    <t>[OJC]</t>
  </si>
  <si>
    <t>Olathe,KS</t>
  </si>
  <si>
    <t>[RSL]</t>
  </si>
  <si>
    <t>Russell,KS</t>
  </si>
  <si>
    <t>[SLN]</t>
  </si>
  <si>
    <t>Salina,KS</t>
  </si>
  <si>
    <t>[TOP]</t>
  </si>
  <si>
    <t>Topeka,KS</t>
  </si>
  <si>
    <t>[FOE]</t>
  </si>
  <si>
    <t>Topeka/Forbe,KS</t>
  </si>
  <si>
    <t>[ICT]</t>
  </si>
  <si>
    <t>Wichita,KS</t>
  </si>
  <si>
    <t>[BWG]</t>
  </si>
  <si>
    <t>Bowling</t>
  </si>
  <si>
    <t>Gren,KY</t>
  </si>
  <si>
    <t>[HOP]</t>
  </si>
  <si>
    <t>Campbell,KY</t>
  </si>
  <si>
    <t>[FTK]</t>
  </si>
  <si>
    <t>Knox,KY</t>
  </si>
  <si>
    <t>[JKL]</t>
  </si>
  <si>
    <t>Jackson,KY</t>
  </si>
  <si>
    <t>[LEX]</t>
  </si>
  <si>
    <t>Lexington,KY</t>
  </si>
  <si>
    <t>[LOZ]</t>
  </si>
  <si>
    <t>London,KY</t>
  </si>
  <si>
    <t>[LOU]</t>
  </si>
  <si>
    <t>Louisville,KY</t>
  </si>
  <si>
    <t>[SDF]</t>
  </si>
  <si>
    <t>[OWB]</t>
  </si>
  <si>
    <t>Owensboro,KY</t>
  </si>
  <si>
    <t>[PAH]</t>
  </si>
  <si>
    <t>Paducah,KY</t>
  </si>
  <si>
    <t>[5I3]</t>
  </si>
  <si>
    <t>Pikeville,KY</t>
  </si>
  <si>
    <t>[ESF]</t>
  </si>
  <si>
    <t>Alexandria,LA</t>
  </si>
  <si>
    <t>[BAD]</t>
  </si>
  <si>
    <t>Barksdale,LA</t>
  </si>
  <si>
    <t>[BTR]</t>
  </si>
  <si>
    <t>Baton</t>
  </si>
  <si>
    <t>Rouge,LA</t>
  </si>
  <si>
    <t>[BVE]</t>
  </si>
  <si>
    <t>Boothville,LA</t>
  </si>
  <si>
    <t>[7R5]</t>
  </si>
  <si>
    <t>Cameron</t>
  </si>
  <si>
    <t>Heli,LA</t>
  </si>
  <si>
    <t>[01R]</t>
  </si>
  <si>
    <t>Claiborne</t>
  </si>
  <si>
    <t>R,LA</t>
  </si>
  <si>
    <t>[AEX]</t>
  </si>
  <si>
    <t>England</t>
  </si>
  <si>
    <t>AFB,LA</t>
  </si>
  <si>
    <t>[41I]</t>
  </si>
  <si>
    <t>Eugene</t>
  </si>
  <si>
    <t>Is.,LA</t>
  </si>
  <si>
    <t>[POE]</t>
  </si>
  <si>
    <t>Polk,LA</t>
  </si>
  <si>
    <t>[AXO]</t>
  </si>
  <si>
    <t>Isle,LA</t>
  </si>
  <si>
    <t>[5R0]</t>
  </si>
  <si>
    <t>High</t>
  </si>
  <si>
    <t>Is,LA</t>
  </si>
  <si>
    <t>[01T]</t>
  </si>
  <si>
    <t>Island,LA</t>
  </si>
  <si>
    <t>[HUM]</t>
  </si>
  <si>
    <t>Houma,LA</t>
  </si>
  <si>
    <t>[7R4]</t>
  </si>
  <si>
    <t>Intercoastal,LA</t>
  </si>
  <si>
    <t>[LFT]</t>
  </si>
  <si>
    <t>Lafayette,LA</t>
  </si>
  <si>
    <t>[LCH]</t>
  </si>
  <si>
    <t>Charles,LA</t>
  </si>
  <si>
    <t>[7R3]</t>
  </si>
  <si>
    <t>Lk</t>
  </si>
  <si>
    <t>Palourde,LA</t>
  </si>
  <si>
    <t>[1G7]</t>
  </si>
  <si>
    <t>Missippi</t>
  </si>
  <si>
    <t>Can,LA</t>
  </si>
  <si>
    <t>[MLU]</t>
  </si>
  <si>
    <t>Monroe,LA</t>
  </si>
  <si>
    <t>[PTN]</t>
  </si>
  <si>
    <t>Morgan</t>
  </si>
  <si>
    <t>City,LA</t>
  </si>
  <si>
    <t>[ARA]</t>
  </si>
  <si>
    <t>Iberia,LA</t>
  </si>
  <si>
    <t>[MSY]</t>
  </si>
  <si>
    <t>Orleans,LA</t>
  </si>
  <si>
    <t>[NBG]</t>
  </si>
  <si>
    <t>[NEW]</t>
  </si>
  <si>
    <t>[7R8]</t>
  </si>
  <si>
    <t>S</t>
  </si>
  <si>
    <t>Marsh</t>
  </si>
  <si>
    <t>Isl,LA</t>
  </si>
  <si>
    <t>[DTN]</t>
  </si>
  <si>
    <t>Shreveport,LA</t>
  </si>
  <si>
    <t>[SHV]</t>
  </si>
  <si>
    <t>[SIL]</t>
  </si>
  <si>
    <t>Slidel,LA</t>
  </si>
  <si>
    <t>[AUG]</t>
  </si>
  <si>
    <t>Augusta,ME</t>
  </si>
  <si>
    <t>[BGR]</t>
  </si>
  <si>
    <t>Bangor,ME</t>
  </si>
  <si>
    <t>[BHB]</t>
  </si>
  <si>
    <t>Bar</t>
  </si>
  <si>
    <t>Harbor,ME</t>
  </si>
  <si>
    <t>[NHZ]</t>
  </si>
  <si>
    <t>Brunswick,ME</t>
  </si>
  <si>
    <t>[CAR]</t>
  </si>
  <si>
    <t>Caribou</t>
  </si>
  <si>
    <t>Mun,ME</t>
  </si>
  <si>
    <t>[3B1]</t>
  </si>
  <si>
    <t>Greenville,ME</t>
  </si>
  <si>
    <t>[6B2]</t>
  </si>
  <si>
    <t>[HUL]</t>
  </si>
  <si>
    <t>Houlton,ME</t>
  </si>
  <si>
    <t>[LIZ]</t>
  </si>
  <si>
    <t>Loring</t>
  </si>
  <si>
    <t>AFB,ME</t>
  </si>
  <si>
    <t>[PWM]</t>
  </si>
  <si>
    <t>Portland,ME</t>
  </si>
  <si>
    <t>[PQI]</t>
  </si>
  <si>
    <t>Presque</t>
  </si>
  <si>
    <t>Isle,ME</t>
  </si>
  <si>
    <t>[RKD]</t>
  </si>
  <si>
    <t>Rockland,ME</t>
  </si>
  <si>
    <t>[RUM]</t>
  </si>
  <si>
    <t>Rumford,ME</t>
  </si>
  <si>
    <t>[ADW]</t>
  </si>
  <si>
    <t>Andrews</t>
  </si>
  <si>
    <t>AFB,MD</t>
  </si>
  <si>
    <t>[BAL]</t>
  </si>
  <si>
    <t>Baltimore,MD</t>
  </si>
  <si>
    <t>[BWI]</t>
  </si>
  <si>
    <t>[MTN]</t>
  </si>
  <si>
    <t>[FME]</t>
  </si>
  <si>
    <t>Meade,MD</t>
  </si>
  <si>
    <t>[HGR]</t>
  </si>
  <si>
    <t>Hagerstown,MD</t>
  </si>
  <si>
    <t>[N80]</t>
  </si>
  <si>
    <t>Ocean</t>
  </si>
  <si>
    <t>City,MD</t>
  </si>
  <si>
    <t>[NHK]</t>
  </si>
  <si>
    <t>Patuxent,MD</t>
  </si>
  <si>
    <t>[APG]</t>
  </si>
  <si>
    <t>Phillips,MD</t>
  </si>
  <si>
    <t>[SBY]</t>
  </si>
  <si>
    <t>Salisbury,MD</t>
  </si>
  <si>
    <t>[BED]</t>
  </si>
  <si>
    <t>Bedford,MA</t>
  </si>
  <si>
    <t>[BVY]</t>
  </si>
  <si>
    <t>Beverly,MA</t>
  </si>
  <si>
    <t>[BOS]</t>
  </si>
  <si>
    <t>Boston,MA</t>
  </si>
  <si>
    <t>[30B]</t>
  </si>
  <si>
    <t>Cod</t>
  </si>
  <si>
    <t>Can,MA</t>
  </si>
  <si>
    <t>[CHH]</t>
  </si>
  <si>
    <t>Chatham,MA</t>
  </si>
  <si>
    <t>[AYE]</t>
  </si>
  <si>
    <t>Devens,MA</t>
  </si>
  <si>
    <t>[HYA]</t>
  </si>
  <si>
    <t>Hyannis,MA</t>
  </si>
  <si>
    <t>[LWM]</t>
  </si>
  <si>
    <t>Lawrence,MA</t>
  </si>
  <si>
    <t>[MVY]</t>
  </si>
  <si>
    <t>Marthas</t>
  </si>
  <si>
    <t>Vine,MA</t>
  </si>
  <si>
    <t>[ACK]</t>
  </si>
  <si>
    <t>Nantucket,MA</t>
  </si>
  <si>
    <t>[EWB]</t>
  </si>
  <si>
    <t>[OWD]</t>
  </si>
  <si>
    <t>Norwood,MA</t>
  </si>
  <si>
    <t>[FMH]</t>
  </si>
  <si>
    <t>Otis</t>
  </si>
  <si>
    <t>ANGB,MA</t>
  </si>
  <si>
    <t>[PSF]</t>
  </si>
  <si>
    <t>Pittsfield,MA</t>
  </si>
  <si>
    <t>[NZW]</t>
  </si>
  <si>
    <t>Weymouth,MA</t>
  </si>
  <si>
    <t>[BAF]</t>
  </si>
  <si>
    <t>Westfield,MA</t>
  </si>
  <si>
    <t>[CEF]</t>
  </si>
  <si>
    <t>Westover,MA</t>
  </si>
  <si>
    <t>[ORH]</t>
  </si>
  <si>
    <t>Worcester,MA</t>
  </si>
  <si>
    <t>[APN]</t>
  </si>
  <si>
    <t>Alpena,MI</t>
  </si>
  <si>
    <t>[ARB]</t>
  </si>
  <si>
    <t>Ann</t>
  </si>
  <si>
    <t>Arbor,MI</t>
  </si>
  <si>
    <t>[BTL]</t>
  </si>
  <si>
    <t>Battle</t>
  </si>
  <si>
    <t>Creek,MI</t>
  </si>
  <si>
    <t>[BEH]</t>
  </si>
  <si>
    <t>Benton</t>
  </si>
  <si>
    <t>Harbor,MI</t>
  </si>
  <si>
    <t>[CIU]</t>
  </si>
  <si>
    <t>Chippewa,MI</t>
  </si>
  <si>
    <t>[C10]</t>
  </si>
  <si>
    <t>Coopersville,MI</t>
  </si>
  <si>
    <t>[P59]</t>
  </si>
  <si>
    <t>Copper</t>
  </si>
  <si>
    <t>Harb,MI</t>
  </si>
  <si>
    <t>[DET]</t>
  </si>
  <si>
    <t>Detroit,MI</t>
  </si>
  <si>
    <t>[DTW]</t>
  </si>
  <si>
    <t>[ESC]</t>
  </si>
  <si>
    <t>Escanaba,MI</t>
  </si>
  <si>
    <t>[FNT]</t>
  </si>
  <si>
    <t>Flint/Bishop,MI</t>
  </si>
  <si>
    <t>[GRR]</t>
  </si>
  <si>
    <t>Rapids,MI</t>
  </si>
  <si>
    <t>[CMX]</t>
  </si>
  <si>
    <t>Hancock,MI</t>
  </si>
  <si>
    <t>[P58]</t>
  </si>
  <si>
    <t>Harbor</t>
  </si>
  <si>
    <t>Beach,MI</t>
  </si>
  <si>
    <t>[HTL]</t>
  </si>
  <si>
    <t>Houghton</t>
  </si>
  <si>
    <t>Lake,MI</t>
  </si>
  <si>
    <t>[IMT]</t>
  </si>
  <si>
    <t>Iron</t>
  </si>
  <si>
    <t>Mtn,MI</t>
  </si>
  <si>
    <t>[IWD]</t>
  </si>
  <si>
    <t>Ironwood,MI</t>
  </si>
  <si>
    <t>[JXN]</t>
  </si>
  <si>
    <t>Jackson,MI</t>
  </si>
  <si>
    <t>[AZO]</t>
  </si>
  <si>
    <t>Kalamazoo,MI</t>
  </si>
  <si>
    <t>[LAN]</t>
  </si>
  <si>
    <t>Lansing,MI</t>
  </si>
  <si>
    <t>[MBL]</t>
  </si>
  <si>
    <t>Manistee,MI</t>
  </si>
  <si>
    <t>[MQT]</t>
  </si>
  <si>
    <t>Marquette,MI</t>
  </si>
  <si>
    <t>[MNM]</t>
  </si>
  <si>
    <t>Menominee,MI</t>
  </si>
  <si>
    <t>[MKG]</t>
  </si>
  <si>
    <t>Muskegon,MI</t>
  </si>
  <si>
    <t>[PLN]</t>
  </si>
  <si>
    <t>Pellston,MI</t>
  </si>
  <si>
    <t>[PTK]</t>
  </si>
  <si>
    <t>Pontiac,MI</t>
  </si>
  <si>
    <t>[MBS]</t>
  </si>
  <si>
    <t>Saginaw,MI</t>
  </si>
  <si>
    <t>[SSM]</t>
  </si>
  <si>
    <t>Sault</t>
  </si>
  <si>
    <t>Ste</t>
  </si>
  <si>
    <t>M,MI</t>
  </si>
  <si>
    <t>[SAW]</t>
  </si>
  <si>
    <t>Sawyer</t>
  </si>
  <si>
    <t>AFB,MI</t>
  </si>
  <si>
    <t>[MTC]</t>
  </si>
  <si>
    <t>Selfridge,MI</t>
  </si>
  <si>
    <t>[P75]</t>
  </si>
  <si>
    <t>Seul</t>
  </si>
  <si>
    <t>Choix,MI</t>
  </si>
  <si>
    <t>[TVC]</t>
  </si>
  <si>
    <t>Traverse</t>
  </si>
  <si>
    <t>Cty,MI</t>
  </si>
  <si>
    <t>[OSC]</t>
  </si>
  <si>
    <t>Wurtsmith,MI</t>
  </si>
  <si>
    <t>[YIP]</t>
  </si>
  <si>
    <t>Ypsilanti,MI</t>
  </si>
  <si>
    <t>[AEL]</t>
  </si>
  <si>
    <t>Albert</t>
  </si>
  <si>
    <t>Lea,MN</t>
  </si>
  <si>
    <t>[AXN]</t>
  </si>
  <si>
    <t>Alexandria,MN</t>
  </si>
  <si>
    <t>[BJI]</t>
  </si>
  <si>
    <t>Bemidji</t>
  </si>
  <si>
    <t>Muni,MN</t>
  </si>
  <si>
    <t>[BRD]</t>
  </si>
  <si>
    <t>Brainerd-Crw,MN</t>
  </si>
  <si>
    <t>[DTL]</t>
  </si>
  <si>
    <t>Detroit</t>
  </si>
  <si>
    <t>Laks,MN</t>
  </si>
  <si>
    <t>[DLH]</t>
  </si>
  <si>
    <t>Duluth,MN</t>
  </si>
  <si>
    <t>[ELO]</t>
  </si>
  <si>
    <t>Ely,MN</t>
  </si>
  <si>
    <t>[FRM]</t>
  </si>
  <si>
    <t>Fairmont,MN</t>
  </si>
  <si>
    <t>[FFM]</t>
  </si>
  <si>
    <t>Fergus</t>
  </si>
  <si>
    <t>Falls,MN</t>
  </si>
  <si>
    <t>[GPZ]</t>
  </si>
  <si>
    <t>Rapids,MN</t>
  </si>
  <si>
    <t>[HIB]</t>
  </si>
  <si>
    <t>Hibbing,MN</t>
  </si>
  <si>
    <t>[INL]</t>
  </si>
  <si>
    <t>Intl</t>
  </si>
  <si>
    <t>[Y69]</t>
  </si>
  <si>
    <t>Litchfield,MN</t>
  </si>
  <si>
    <t>[MKT]</t>
  </si>
  <si>
    <t>Mankato,MN</t>
  </si>
  <si>
    <t>[MML]</t>
  </si>
  <si>
    <t>Marshall</t>
  </si>
  <si>
    <t>Arpt,MN</t>
  </si>
  <si>
    <t>[FCM]</t>
  </si>
  <si>
    <t>Minneapolis,MN</t>
  </si>
  <si>
    <t>[MIC]</t>
  </si>
  <si>
    <t>[MSP]</t>
  </si>
  <si>
    <t>[PKD]</t>
  </si>
  <si>
    <t>[P39]</t>
  </si>
  <si>
    <t>Pequot</t>
  </si>
  <si>
    <t>Lake,MN</t>
  </si>
  <si>
    <t>[RWF]</t>
  </si>
  <si>
    <t>Redwood</t>
  </si>
  <si>
    <t>[RST]</t>
  </si>
  <si>
    <t>Rochester,MN</t>
  </si>
  <si>
    <t>[STP]</t>
  </si>
  <si>
    <t>Paul,MN</t>
  </si>
  <si>
    <t>[STC]</t>
  </si>
  <si>
    <t>Cloud,MN</t>
  </si>
  <si>
    <t>[TVF]</t>
  </si>
  <si>
    <t>Thief</t>
  </si>
  <si>
    <t>River,MN</t>
  </si>
  <si>
    <t>[P61]</t>
  </si>
  <si>
    <t>Tofte,MN</t>
  </si>
  <si>
    <t>[D45]</t>
  </si>
  <si>
    <t>Warroad,MN</t>
  </si>
  <si>
    <t>[OTG]</t>
  </si>
  <si>
    <t>Worthington,MN</t>
  </si>
  <si>
    <t>[CBM]</t>
  </si>
  <si>
    <t>Columbus</t>
  </si>
  <si>
    <t>AFB,MS</t>
  </si>
  <si>
    <t>[GTR]</t>
  </si>
  <si>
    <t>Golden</t>
  </si>
  <si>
    <t>Trian,MS</t>
  </si>
  <si>
    <t>[GLH]</t>
  </si>
  <si>
    <t>Greenville,MS</t>
  </si>
  <si>
    <t>[GWO]</t>
  </si>
  <si>
    <t>Greenwood,MS</t>
  </si>
  <si>
    <t>[GPT]</t>
  </si>
  <si>
    <t>Gulfport,MS</t>
  </si>
  <si>
    <t>[PIB]</t>
  </si>
  <si>
    <t>Hattiesburg,MS</t>
  </si>
  <si>
    <t>[JAN]</t>
  </si>
  <si>
    <t>Jackson,MS</t>
  </si>
  <si>
    <t>[BIX]</t>
  </si>
  <si>
    <t>Keesler</t>
  </si>
  <si>
    <t>[LUL]</t>
  </si>
  <si>
    <t>Laurel,MS</t>
  </si>
  <si>
    <t>[MCB]</t>
  </si>
  <si>
    <t>Mccomb,MS</t>
  </si>
  <si>
    <t>[NMM]</t>
  </si>
  <si>
    <t>Meridian</t>
  </si>
  <si>
    <t>NAS,MS</t>
  </si>
  <si>
    <t>[MEI]</t>
  </si>
  <si>
    <t>Meridian/Key,MS</t>
  </si>
  <si>
    <t>[HEZ]</t>
  </si>
  <si>
    <t>Natchez,MS</t>
  </si>
  <si>
    <t>[UOX]</t>
  </si>
  <si>
    <t>Oxford,MS</t>
  </si>
  <si>
    <t>[TUP]</t>
  </si>
  <si>
    <t>Tupelo,MS</t>
  </si>
  <si>
    <t>[COU]</t>
  </si>
  <si>
    <t>Columbia,MO</t>
  </si>
  <si>
    <t>[CGI]</t>
  </si>
  <si>
    <t>Cp</t>
  </si>
  <si>
    <t>Girardeau,MO</t>
  </si>
  <si>
    <t>[TBN]</t>
  </si>
  <si>
    <t>Leonard,MO</t>
  </si>
  <si>
    <t>[JEF]</t>
  </si>
  <si>
    <t>Jefferson</t>
  </si>
  <si>
    <t>City,MO</t>
  </si>
  <si>
    <t>[JLN]</t>
  </si>
  <si>
    <t>Joplin,MO</t>
  </si>
  <si>
    <t>[MCI]</t>
  </si>
  <si>
    <t>[MKC]</t>
  </si>
  <si>
    <t>[IRK]</t>
  </si>
  <si>
    <t>Kirksville,MO</t>
  </si>
  <si>
    <t>[UMN]</t>
  </si>
  <si>
    <t>Monett,MO</t>
  </si>
  <si>
    <t>[MKO]</t>
  </si>
  <si>
    <t>Muskogee,MO</t>
  </si>
  <si>
    <t>[P02]</t>
  </si>
  <si>
    <t>Poplar</t>
  </si>
  <si>
    <t>Bluff,MO</t>
  </si>
  <si>
    <t>[GVW]</t>
  </si>
  <si>
    <t>Richards-Geb,MO</t>
  </si>
  <si>
    <t>[P35]</t>
  </si>
  <si>
    <t>Spickard,MO</t>
  </si>
  <si>
    <t>[SGF]</t>
  </si>
  <si>
    <t>Springfield,MO</t>
  </si>
  <si>
    <t>[STJ]</t>
  </si>
  <si>
    <t>Joseph,MO</t>
  </si>
  <si>
    <t>[STL]</t>
  </si>
  <si>
    <t>Louis,MO</t>
  </si>
  <si>
    <t>[SUS]</t>
  </si>
  <si>
    <t>StLouis/Spirit,MO</t>
  </si>
  <si>
    <t>[VIH]</t>
  </si>
  <si>
    <t>Vichy/Rolla,MO</t>
  </si>
  <si>
    <t>[H63]</t>
  </si>
  <si>
    <t>Plains,MO</t>
  </si>
  <si>
    <t>[UNO]</t>
  </si>
  <si>
    <t>[SZL]</t>
  </si>
  <si>
    <t>Whiteman</t>
  </si>
  <si>
    <t>AFB,MO</t>
  </si>
  <si>
    <t>[BIL]</t>
  </si>
  <si>
    <t>Billings,MT</t>
  </si>
  <si>
    <t>[BZN]</t>
  </si>
  <si>
    <t>Bozeman,MT</t>
  </si>
  <si>
    <t>[4BQ]</t>
  </si>
  <si>
    <t>Broadus,MT</t>
  </si>
  <si>
    <t>[BTM]</t>
  </si>
  <si>
    <t>Butte,MT</t>
  </si>
  <si>
    <t>[CTB]</t>
  </si>
  <si>
    <t>Cut</t>
  </si>
  <si>
    <t>Bank,MT</t>
  </si>
  <si>
    <t>[DLN]</t>
  </si>
  <si>
    <t>Dillon,MT</t>
  </si>
  <si>
    <t>[3DU]</t>
  </si>
  <si>
    <t>Drummond,MT</t>
  </si>
  <si>
    <t>[GGW]</t>
  </si>
  <si>
    <t>Glasgow,MT</t>
  </si>
  <si>
    <t>[GDV]</t>
  </si>
  <si>
    <t>Glendive,MT</t>
  </si>
  <si>
    <t>[GTF]</t>
  </si>
  <si>
    <t>Great</t>
  </si>
  <si>
    <t>Falls,MT</t>
  </si>
  <si>
    <t>[3HT]</t>
  </si>
  <si>
    <t>Harlowton,MT</t>
  </si>
  <si>
    <t>[HVR]</t>
  </si>
  <si>
    <t>Havre,MT</t>
  </si>
  <si>
    <t>[HLN]</t>
  </si>
  <si>
    <t>Helena,MT</t>
  </si>
  <si>
    <t>[JDN]</t>
  </si>
  <si>
    <t>Jordan,MT</t>
  </si>
  <si>
    <t>[FCA]</t>
  </si>
  <si>
    <t>Kalispell,MT</t>
  </si>
  <si>
    <t>[LWT]</t>
  </si>
  <si>
    <t>Lewiston,MT</t>
  </si>
  <si>
    <t>[LVM]</t>
  </si>
  <si>
    <t>Livingston,MT</t>
  </si>
  <si>
    <t>[GFA]</t>
  </si>
  <si>
    <t>Malmstrom,MT</t>
  </si>
  <si>
    <t>[MLS]</t>
  </si>
  <si>
    <t>Miles</t>
  </si>
  <si>
    <t>City,MT</t>
  </si>
  <si>
    <t>[MSO]</t>
  </si>
  <si>
    <t>Missoula,MT</t>
  </si>
  <si>
    <t>[MQM]</t>
  </si>
  <si>
    <t>Monida,MT</t>
  </si>
  <si>
    <t>[SDY]</t>
  </si>
  <si>
    <t>Sidney,MT</t>
  </si>
  <si>
    <t>[3TH]</t>
  </si>
  <si>
    <t>Thompson</t>
  </si>
  <si>
    <t>Fal,MT</t>
  </si>
  <si>
    <t>[WEY]</t>
  </si>
  <si>
    <t>Yellowston,MT</t>
  </si>
  <si>
    <t>[WYS]</t>
  </si>
  <si>
    <t>[OLF]</t>
  </si>
  <si>
    <t>Wolf</t>
  </si>
  <si>
    <t>Point,MT</t>
  </si>
  <si>
    <t>[ANW]</t>
  </si>
  <si>
    <t>Ainsworth,NE</t>
  </si>
  <si>
    <t>[AIA]</t>
  </si>
  <si>
    <t>Alliance,NE</t>
  </si>
  <si>
    <t>[BIE]</t>
  </si>
  <si>
    <t>Beatrice,NE</t>
  </si>
  <si>
    <t>[BBW]</t>
  </si>
  <si>
    <t>Broken</t>
  </si>
  <si>
    <t>Bow,NE</t>
  </si>
  <si>
    <t>[BUB]</t>
  </si>
  <si>
    <t>Burwell,NE</t>
  </si>
  <si>
    <t>[CDR]</t>
  </si>
  <si>
    <t>Chadron,NE</t>
  </si>
  <si>
    <t>[OLU]</t>
  </si>
  <si>
    <t>Columbus,NE</t>
  </si>
  <si>
    <t>[CZD]</t>
  </si>
  <si>
    <t>Cozad,NE</t>
  </si>
  <si>
    <t>[FNB]</t>
  </si>
  <si>
    <t>Falls</t>
  </si>
  <si>
    <t>City,NE</t>
  </si>
  <si>
    <t>[GRI]</t>
  </si>
  <si>
    <t>Island,NE</t>
  </si>
  <si>
    <t>[HSI]</t>
  </si>
  <si>
    <t>Hastings,NE</t>
  </si>
  <si>
    <t>[6V1]</t>
  </si>
  <si>
    <t>Imperial,NE</t>
  </si>
  <si>
    <t>[IML]</t>
  </si>
  <si>
    <t>[EAR]</t>
  </si>
  <si>
    <t>Kearney,NE</t>
  </si>
  <si>
    <t>[LNK]</t>
  </si>
  <si>
    <t>Lincoln</t>
  </si>
  <si>
    <t>Muni,NE</t>
  </si>
  <si>
    <t>[MCK]</t>
  </si>
  <si>
    <t>Mccook,NE</t>
  </si>
  <si>
    <t>[MHN]</t>
  </si>
  <si>
    <t>Mullen,NE</t>
  </si>
  <si>
    <t>[OFK]</t>
  </si>
  <si>
    <t>Norfolk,NE</t>
  </si>
  <si>
    <t>[OVN]</t>
  </si>
  <si>
    <t>Omaha,NE</t>
  </si>
  <si>
    <t>[LBF]</t>
  </si>
  <si>
    <t>Platte,NE</t>
  </si>
  <si>
    <t>[ONL]</t>
  </si>
  <si>
    <t>O'neill,NE</t>
  </si>
  <si>
    <t>[OFF]</t>
  </si>
  <si>
    <t>Offutt</t>
  </si>
  <si>
    <t>AFB,NE</t>
  </si>
  <si>
    <t>[OMA]</t>
  </si>
  <si>
    <t>Omaha/Eppley,NE</t>
  </si>
  <si>
    <t>[ODX]</t>
  </si>
  <si>
    <t>Ord/Sharp,NE</t>
  </si>
  <si>
    <t>[BFF]</t>
  </si>
  <si>
    <t>Scottsbluff,NE</t>
  </si>
  <si>
    <t>[SNY]</t>
  </si>
  <si>
    <t>Sidney</t>
  </si>
  <si>
    <t>[VTN]</t>
  </si>
  <si>
    <t>Valentine,NE</t>
  </si>
  <si>
    <t>[AUI]</t>
  </si>
  <si>
    <t>Austin,NV</t>
  </si>
  <si>
    <t>[U31]</t>
  </si>
  <si>
    <t>[BAM]</t>
  </si>
  <si>
    <t>Mtn,NV</t>
  </si>
  <si>
    <t>[P38]</t>
  </si>
  <si>
    <t>Caliente,NV</t>
  </si>
  <si>
    <t>[EKO]</t>
  </si>
  <si>
    <t>Elko,NV</t>
  </si>
  <si>
    <t>[ELY]</t>
  </si>
  <si>
    <t>Ely/Yelland,NV</t>
  </si>
  <si>
    <t>[P68]</t>
  </si>
  <si>
    <t>Eureka,NV</t>
  </si>
  <si>
    <t>[NFL]</t>
  </si>
  <si>
    <t>Fallon</t>
  </si>
  <si>
    <t>NAS,NV</t>
  </si>
  <si>
    <t>[HTH]</t>
  </si>
  <si>
    <t>Hawthorne,NV</t>
  </si>
  <si>
    <t>[L63]</t>
  </si>
  <si>
    <t>Ind</t>
  </si>
  <si>
    <t>Sprng</t>
  </si>
  <si>
    <t>Rn,NV</t>
  </si>
  <si>
    <t>[L76]</t>
  </si>
  <si>
    <t>[LAS]</t>
  </si>
  <si>
    <t>Las</t>
  </si>
  <si>
    <t>Vegas,NV</t>
  </si>
  <si>
    <t>[LOL]</t>
  </si>
  <si>
    <t>Lovelock,NV</t>
  </si>
  <si>
    <t>[DRA]</t>
  </si>
  <si>
    <t>Mercury,NV</t>
  </si>
  <si>
    <t>[LSV]</t>
  </si>
  <si>
    <t>Nellis</t>
  </si>
  <si>
    <t>AFB,NV</t>
  </si>
  <si>
    <t>[OWY]</t>
  </si>
  <si>
    <t>Owyhee,NV</t>
  </si>
  <si>
    <t>[RNO]</t>
  </si>
  <si>
    <t>Reno,NV</t>
  </si>
  <si>
    <t>[TPH]</t>
  </si>
  <si>
    <t>Tonopah,NV</t>
  </si>
  <si>
    <t>[AWH]</t>
  </si>
  <si>
    <t>Wildhorse,NV</t>
  </si>
  <si>
    <t>[WMC]</t>
  </si>
  <si>
    <t>Winnemucca,NV</t>
  </si>
  <si>
    <t>[UCC]</t>
  </si>
  <si>
    <t>Yucca</t>
  </si>
  <si>
    <t>Flat,NV</t>
  </si>
  <si>
    <t>[BML]</t>
  </si>
  <si>
    <t>Berlin,NH</t>
  </si>
  <si>
    <t>[CON]</t>
  </si>
  <si>
    <t>Concord,NH</t>
  </si>
  <si>
    <t>[AFN]</t>
  </si>
  <si>
    <t>Jaffrey,NH</t>
  </si>
  <si>
    <t>[EEN]</t>
  </si>
  <si>
    <t>Keene,NH</t>
  </si>
  <si>
    <t>[LCI]</t>
  </si>
  <si>
    <t>Laconia,NH</t>
  </si>
  <si>
    <t>[LEB]</t>
  </si>
  <si>
    <t>Lebanon,NH</t>
  </si>
  <si>
    <t>[MHT]</t>
  </si>
  <si>
    <t>Manchester,NH</t>
  </si>
  <si>
    <t>[MWN]</t>
  </si>
  <si>
    <t>Mt</t>
  </si>
  <si>
    <t>Washingtn,NH</t>
  </si>
  <si>
    <t>[ASH]</t>
  </si>
  <si>
    <t>Nashua,NH</t>
  </si>
  <si>
    <t>[PSM]</t>
  </si>
  <si>
    <t>Pease</t>
  </si>
  <si>
    <t>AFB,NH</t>
  </si>
  <si>
    <t>[8B8]</t>
  </si>
  <si>
    <t>Wolfeboro,NH</t>
  </si>
  <si>
    <t>[ACY]</t>
  </si>
  <si>
    <t>Atlantic</t>
  </si>
  <si>
    <t>Cty,NJ</t>
  </si>
  <si>
    <t>[N78]</t>
  </si>
  <si>
    <t>Barnegat</t>
  </si>
  <si>
    <t>Ls,NJ</t>
  </si>
  <si>
    <t>[CDW]</t>
  </si>
  <si>
    <t>Fairfield,NJ</t>
  </si>
  <si>
    <t>[NEL]</t>
  </si>
  <si>
    <t>Lakehurst,NJ</t>
  </si>
  <si>
    <t>[WRI]</t>
  </si>
  <si>
    <t>Mcguire</t>
  </si>
  <si>
    <t>AFB,NJ</t>
  </si>
  <si>
    <t>[MIV]</t>
  </si>
  <si>
    <t>Millville,NJ</t>
  </si>
  <si>
    <t>[MMU]</t>
  </si>
  <si>
    <t>Morristown,NJ</t>
  </si>
  <si>
    <t>[EWR]</t>
  </si>
  <si>
    <t>Newark</t>
  </si>
  <si>
    <t>Intl,NJ</t>
  </si>
  <si>
    <t>[TEB]</t>
  </si>
  <si>
    <t>Teterboro,NJ</t>
  </si>
  <si>
    <t>[TTN]</t>
  </si>
  <si>
    <t>Trenton,NJ</t>
  </si>
  <si>
    <t>[ABQ]</t>
  </si>
  <si>
    <t>Albuquerque,NM</t>
  </si>
  <si>
    <t>[CVS]</t>
  </si>
  <si>
    <t>Cannon,NM</t>
  </si>
  <si>
    <t>[CNM]</t>
  </si>
  <si>
    <t>Carlsbad,NM</t>
  </si>
  <si>
    <t>[CAO]</t>
  </si>
  <si>
    <t>Clayton</t>
  </si>
  <si>
    <t>Arpt,NM</t>
  </si>
  <si>
    <t>[4CR]</t>
  </si>
  <si>
    <t>Corona,NM</t>
  </si>
  <si>
    <t>[4SL]</t>
  </si>
  <si>
    <t>Cuba</t>
  </si>
  <si>
    <t>Awrs,NM</t>
  </si>
  <si>
    <t>[DMN]</t>
  </si>
  <si>
    <t>Deming,NM</t>
  </si>
  <si>
    <t>[FMN]</t>
  </si>
  <si>
    <t>Farmington,NM</t>
  </si>
  <si>
    <t>[GUP]</t>
  </si>
  <si>
    <t>Gallup/Clark,NM</t>
  </si>
  <si>
    <t>[GNT]</t>
  </si>
  <si>
    <t>Grants,NM</t>
  </si>
  <si>
    <t>[HOB]</t>
  </si>
  <si>
    <t>Hobbs,NM</t>
  </si>
  <si>
    <t>[HMN]</t>
  </si>
  <si>
    <t>Holloman</t>
  </si>
  <si>
    <t>AFB,NM</t>
  </si>
  <si>
    <t>[LRU]</t>
  </si>
  <si>
    <t>Cruces,NM</t>
  </si>
  <si>
    <t>[LVS]</t>
  </si>
  <si>
    <t>Vegas,NM</t>
  </si>
  <si>
    <t>[LAM]</t>
  </si>
  <si>
    <t>Alamos,NM</t>
  </si>
  <si>
    <t>[4MY]</t>
  </si>
  <si>
    <t>Moriarity,NM</t>
  </si>
  <si>
    <t>[E28]</t>
  </si>
  <si>
    <t>Northrup</t>
  </si>
  <si>
    <t>Str,NM</t>
  </si>
  <si>
    <t>[RTN]</t>
  </si>
  <si>
    <t>Raton,NM</t>
  </si>
  <si>
    <t>[ROW]</t>
  </si>
  <si>
    <t>Roswell,NM</t>
  </si>
  <si>
    <t>[SAF]</t>
  </si>
  <si>
    <t>Fe,NM</t>
  </si>
  <si>
    <t>[SVC]</t>
  </si>
  <si>
    <t>Silver</t>
  </si>
  <si>
    <t>City,NM</t>
  </si>
  <si>
    <t>[ONM]</t>
  </si>
  <si>
    <t>Socorro,NM</t>
  </si>
  <si>
    <t>[E23]</t>
  </si>
  <si>
    <t>Taos,NM</t>
  </si>
  <si>
    <t>[TCS]</t>
  </si>
  <si>
    <t>Truth</t>
  </si>
  <si>
    <t>Or</t>
  </si>
  <si>
    <t>Con,NM</t>
  </si>
  <si>
    <t>[TCC]</t>
  </si>
  <si>
    <t>Tucumcari,NM</t>
  </si>
  <si>
    <t>[2C2]</t>
  </si>
  <si>
    <t>White</t>
  </si>
  <si>
    <t>Sands,NM</t>
  </si>
  <si>
    <t>[ALB]</t>
  </si>
  <si>
    <t>Albany,NY</t>
  </si>
  <si>
    <t>[N28]</t>
  </si>
  <si>
    <t>Ambrose,NY</t>
  </si>
  <si>
    <t>[BGM]</t>
  </si>
  <si>
    <t>Binghamton,NY</t>
  </si>
  <si>
    <t>[BUF]</t>
  </si>
  <si>
    <t>Buffalo,NY</t>
  </si>
  <si>
    <t>[DSV]</t>
  </si>
  <si>
    <t>Dansville,NY</t>
  </si>
  <si>
    <t>[ELM]</t>
  </si>
  <si>
    <t>Elmira,NY</t>
  </si>
  <si>
    <t>[FRG]</t>
  </si>
  <si>
    <t>Farmingdale,NY</t>
  </si>
  <si>
    <t>[GTB]</t>
  </si>
  <si>
    <t>Drum,NY</t>
  </si>
  <si>
    <t>[GFL]</t>
  </si>
  <si>
    <t>Glens</t>
  </si>
  <si>
    <t>Falls,NY</t>
  </si>
  <si>
    <t>[RME]</t>
  </si>
  <si>
    <t>Griffiss</t>
  </si>
  <si>
    <t>AFB,NY</t>
  </si>
  <si>
    <t>[ISP]</t>
  </si>
  <si>
    <t>Islip,NY</t>
  </si>
  <si>
    <t>[ITH]</t>
  </si>
  <si>
    <t>Ithaca,NY</t>
  </si>
  <si>
    <t>[JHW]</t>
  </si>
  <si>
    <t>Jamestown,NY</t>
  </si>
  <si>
    <t>[MSS]</t>
  </si>
  <si>
    <t>Massena,NY</t>
  </si>
  <si>
    <t>[MSV]</t>
  </si>
  <si>
    <t>Monticello,NY</t>
  </si>
  <si>
    <t>[NYC]</t>
  </si>
  <si>
    <t>York,NY</t>
  </si>
  <si>
    <t>[JFK]</t>
  </si>
  <si>
    <t>York/JFK,NY</t>
  </si>
  <si>
    <t>[LGA]</t>
  </si>
  <si>
    <t>York/LGA,NY</t>
  </si>
  <si>
    <t>[SWF]</t>
  </si>
  <si>
    <t>Newburgh,NY</t>
  </si>
  <si>
    <t>[IAG]</t>
  </si>
  <si>
    <t>Niagara</t>
  </si>
  <si>
    <t>Fall,NY</t>
  </si>
  <si>
    <t>[OGS]</t>
  </si>
  <si>
    <t>Ogdensburg,NY</t>
  </si>
  <si>
    <t>[N66]</t>
  </si>
  <si>
    <t>Oneonta,NY</t>
  </si>
  <si>
    <t>[PBG]</t>
  </si>
  <si>
    <t>Plattsburgh,NY</t>
  </si>
  <si>
    <t>[POU]</t>
  </si>
  <si>
    <t>Poughkeepsie,NY</t>
  </si>
  <si>
    <t>[ROC]</t>
  </si>
  <si>
    <t>Rochester,NY</t>
  </si>
  <si>
    <t>[SLK]</t>
  </si>
  <si>
    <t>Saranac</t>
  </si>
  <si>
    <t>Lk,NY</t>
  </si>
  <si>
    <t>[SCH]</t>
  </si>
  <si>
    <t>Schenectady,NY</t>
  </si>
  <si>
    <t>[SYR]</t>
  </si>
  <si>
    <t>Syracuse,NY</t>
  </si>
  <si>
    <t>[UCA]</t>
  </si>
  <si>
    <t>Utica,NY</t>
  </si>
  <si>
    <t>[ART]</t>
  </si>
  <si>
    <t>Watertown,NY</t>
  </si>
  <si>
    <t>[FOK]</t>
  </si>
  <si>
    <t>Westhampton,NY</t>
  </si>
  <si>
    <t>[HPN]</t>
  </si>
  <si>
    <t>Plains,NY</t>
  </si>
  <si>
    <t>[AVL]</t>
  </si>
  <si>
    <t>Asheville,NC</t>
  </si>
  <si>
    <t>[HAT]</t>
  </si>
  <si>
    <t>Hattera,NC</t>
  </si>
  <si>
    <t>[CLT]</t>
  </si>
  <si>
    <t>Charlotte,NC</t>
  </si>
  <si>
    <t>[NKT]</t>
  </si>
  <si>
    <t>Cherry</t>
  </si>
  <si>
    <t>Point,NC</t>
  </si>
  <si>
    <t>[2DP]</t>
  </si>
  <si>
    <t>Dare</t>
  </si>
  <si>
    <t>Co</t>
  </si>
  <si>
    <t>Gr,NC</t>
  </si>
  <si>
    <t>[44W]</t>
  </si>
  <si>
    <t>Diamond</t>
  </si>
  <si>
    <t>Sho,NC</t>
  </si>
  <si>
    <t>[ECG]</t>
  </si>
  <si>
    <t>Elizabeth,NC</t>
  </si>
  <si>
    <t>[FAY]</t>
  </si>
  <si>
    <t>Fayetteville,NC</t>
  </si>
  <si>
    <t>[FBG]</t>
  </si>
  <si>
    <t>Bragg,NC</t>
  </si>
  <si>
    <t>[GSO]</t>
  </si>
  <si>
    <t>Greensboro,NC</t>
  </si>
  <si>
    <t>[HKY]</t>
  </si>
  <si>
    <t>Hickory,NC</t>
  </si>
  <si>
    <t>[HSS]</t>
  </si>
  <si>
    <t>Springs,NC</t>
  </si>
  <si>
    <t>[OAJ]</t>
  </si>
  <si>
    <t>Jacksonville,NC</t>
  </si>
  <si>
    <t>[ISO]</t>
  </si>
  <si>
    <t>Kinston,NC</t>
  </si>
  <si>
    <t>[HFF]</t>
  </si>
  <si>
    <t>Mackall</t>
  </si>
  <si>
    <t>Aaf,NC</t>
  </si>
  <si>
    <t>[MQI]</t>
  </si>
  <si>
    <t>Manteo</t>
  </si>
  <si>
    <t>Arpt,NC</t>
  </si>
  <si>
    <t>[EWN]</t>
  </si>
  <si>
    <t>Bern,NC</t>
  </si>
  <si>
    <t>[NCA]</t>
  </si>
  <si>
    <t>River,NC</t>
  </si>
  <si>
    <t>[POB]</t>
  </si>
  <si>
    <t>Pope</t>
  </si>
  <si>
    <t>AFB,NC</t>
  </si>
  <si>
    <t>[RDU]</t>
  </si>
  <si>
    <t>Raleigh-Durh,NC</t>
  </si>
  <si>
    <t>[RWI]</t>
  </si>
  <si>
    <t>Rocky</t>
  </si>
  <si>
    <t>Mt,NC</t>
  </si>
  <si>
    <t>[GSB]</t>
  </si>
  <si>
    <t>Seymour-John,NC</t>
  </si>
  <si>
    <t>[SOP]</t>
  </si>
  <si>
    <t>Southern</t>
  </si>
  <si>
    <t>Pin,NC</t>
  </si>
  <si>
    <t>[ILM]</t>
  </si>
  <si>
    <t>Wilmington,NC</t>
  </si>
  <si>
    <t>[INT]</t>
  </si>
  <si>
    <t>Winston-Salem,NC</t>
  </si>
  <si>
    <t>[BIS]</t>
  </si>
  <si>
    <t>Bismarck,ND</t>
  </si>
  <si>
    <t>[DVL]</t>
  </si>
  <si>
    <t>Devil's</t>
  </si>
  <si>
    <t>Lake,ND</t>
  </si>
  <si>
    <t>[P11]</t>
  </si>
  <si>
    <t>[DIK]</t>
  </si>
  <si>
    <t>Dickenson,ND</t>
  </si>
  <si>
    <t>[FAR]</t>
  </si>
  <si>
    <t>Fargo,ND</t>
  </si>
  <si>
    <t>[GFK]</t>
  </si>
  <si>
    <t>Forks,ND</t>
  </si>
  <si>
    <t>[RDR]</t>
  </si>
  <si>
    <t>[JMS]</t>
  </si>
  <si>
    <t>Jamestown,ND</t>
  </si>
  <si>
    <t>[P67]</t>
  </si>
  <si>
    <t>Lidgerwood,ND</t>
  </si>
  <si>
    <t>[MIB]</t>
  </si>
  <si>
    <t>Minot</t>
  </si>
  <si>
    <t>AFB,ND</t>
  </si>
  <si>
    <t>[MOT]</t>
  </si>
  <si>
    <t>Intl,ND</t>
  </si>
  <si>
    <t>[P24]</t>
  </si>
  <si>
    <t>Roseglen,ND</t>
  </si>
  <si>
    <t>[ISN]</t>
  </si>
  <si>
    <t>Williston,ND</t>
  </si>
  <si>
    <t>[UNI]</t>
  </si>
  <si>
    <t>Athens/Albany,OH</t>
  </si>
  <si>
    <t>[CAK]</t>
  </si>
  <si>
    <t>Canton,OH</t>
  </si>
  <si>
    <t>[CVG]</t>
  </si>
  <si>
    <t>Cincinnati,OH</t>
  </si>
  <si>
    <t>[LUK]</t>
  </si>
  <si>
    <t>[BKL]</t>
  </si>
  <si>
    <t>Cleveland,OH</t>
  </si>
  <si>
    <t>[CGF]</t>
  </si>
  <si>
    <t>[CLE]</t>
  </si>
  <si>
    <t>[CMH]</t>
  </si>
  <si>
    <t>Columbus,OH</t>
  </si>
  <si>
    <t>[OSU]</t>
  </si>
  <si>
    <t>Osu,OH</t>
  </si>
  <si>
    <t>[DAY]</t>
  </si>
  <si>
    <t>Dayton,OH</t>
  </si>
  <si>
    <t>[FDY]</t>
  </si>
  <si>
    <t>Findlay,OH</t>
  </si>
  <si>
    <t>[MFD]</t>
  </si>
  <si>
    <t>Mansfield,OH</t>
  </si>
  <si>
    <t>[LCK]</t>
  </si>
  <si>
    <t>Rickenbacker,OH</t>
  </si>
  <si>
    <t>[TOL]</t>
  </si>
  <si>
    <t>Toledo,OH</t>
  </si>
  <si>
    <t>[LNN]</t>
  </si>
  <si>
    <t>Willoughby,OH</t>
  </si>
  <si>
    <t>[FFO]</t>
  </si>
  <si>
    <t>Wright-Pat</t>
  </si>
  <si>
    <t>AFB,OH</t>
  </si>
  <si>
    <t>[YNG]</t>
  </si>
  <si>
    <t>Youngstown,OH</t>
  </si>
  <si>
    <t>[ZZV]</t>
  </si>
  <si>
    <t>Zanesville,OH</t>
  </si>
  <si>
    <t>[LTS]</t>
  </si>
  <si>
    <t>Altus</t>
  </si>
  <si>
    <t>AFB,OK</t>
  </si>
  <si>
    <t>[ADM]</t>
  </si>
  <si>
    <t>Ardmore,OK</t>
  </si>
  <si>
    <t>[BVO]</t>
  </si>
  <si>
    <t>Bartlesville,OK</t>
  </si>
  <si>
    <t>[CSM]</t>
  </si>
  <si>
    <t>Clinton,OK</t>
  </si>
  <si>
    <t>[WDG]</t>
  </si>
  <si>
    <t>Enid,OK</t>
  </si>
  <si>
    <t>[FSI]</t>
  </si>
  <si>
    <t>Sill,OK</t>
  </si>
  <si>
    <t>[GAG]</t>
  </si>
  <si>
    <t>Gage,OK</t>
  </si>
  <si>
    <t>[HBR]</t>
  </si>
  <si>
    <t>Hobart,OK</t>
  </si>
  <si>
    <t>[LAW]</t>
  </si>
  <si>
    <t>Lawton,OK</t>
  </si>
  <si>
    <t>[MLC]</t>
  </si>
  <si>
    <t>Mcalester,OK</t>
  </si>
  <si>
    <t>[OUN]</t>
  </si>
  <si>
    <t>Norman,OK</t>
  </si>
  <si>
    <t>[OKC]</t>
  </si>
  <si>
    <t>Cty,OK</t>
  </si>
  <si>
    <t>[PWA]</t>
  </si>
  <si>
    <t>[PGO]</t>
  </si>
  <si>
    <t>Page,OK</t>
  </si>
  <si>
    <t>[PNC]</t>
  </si>
  <si>
    <t>Ponca</t>
  </si>
  <si>
    <t>City,OK</t>
  </si>
  <si>
    <t>[SWO]</t>
  </si>
  <si>
    <t>Stillwater,OK</t>
  </si>
  <si>
    <t>[TIK]</t>
  </si>
  <si>
    <t>Tinker</t>
  </si>
  <si>
    <t>[TUL]</t>
  </si>
  <si>
    <t>Tulsa,OK</t>
  </si>
  <si>
    <t>[END]</t>
  </si>
  <si>
    <t>Vance</t>
  </si>
  <si>
    <t>[AST]</t>
  </si>
  <si>
    <t>Astoria,OR</t>
  </si>
  <si>
    <t>[3S2]</t>
  </si>
  <si>
    <t>Aurora,OR</t>
  </si>
  <si>
    <t>[BKE]</t>
  </si>
  <si>
    <t>Baker,OR</t>
  </si>
  <si>
    <t>[4BK]</t>
  </si>
  <si>
    <t>Brookings,OR</t>
  </si>
  <si>
    <t>[BNO]</t>
  </si>
  <si>
    <t>Burns</t>
  </si>
  <si>
    <t>Arpt,OR</t>
  </si>
  <si>
    <t>[92S]</t>
  </si>
  <si>
    <t>Blanco,OR</t>
  </si>
  <si>
    <t>[CZK]</t>
  </si>
  <si>
    <t>Cascade,OR</t>
  </si>
  <si>
    <t>[CVO]</t>
  </si>
  <si>
    <t>Corvallis,OR</t>
  </si>
  <si>
    <t>[EUG]</t>
  </si>
  <si>
    <t>Eugene,OR</t>
  </si>
  <si>
    <t>[HIO]</t>
  </si>
  <si>
    <t>Hillsboro,OR</t>
  </si>
  <si>
    <t>[LMT]</t>
  </si>
  <si>
    <t>Klamath</t>
  </si>
  <si>
    <t>Fall,OR</t>
  </si>
  <si>
    <t>[LGD]</t>
  </si>
  <si>
    <t>Grande,OR</t>
  </si>
  <si>
    <t>[4LW]</t>
  </si>
  <si>
    <t>View,OR</t>
  </si>
  <si>
    <t>[MEH]</t>
  </si>
  <si>
    <t>Meacham,OR</t>
  </si>
  <si>
    <t>[MFR]</t>
  </si>
  <si>
    <t>Medford,OR</t>
  </si>
  <si>
    <t>[ONP]</t>
  </si>
  <si>
    <t>Newport,OR</t>
  </si>
  <si>
    <t>[OTH]</t>
  </si>
  <si>
    <t>Bend,OR</t>
  </si>
  <si>
    <t>[ONO]</t>
  </si>
  <si>
    <t>Ontario,OR</t>
  </si>
  <si>
    <t>[PDT]</t>
  </si>
  <si>
    <t>Pendleton,OR</t>
  </si>
  <si>
    <t>[PDX]</t>
  </si>
  <si>
    <t>Portland,OR</t>
  </si>
  <si>
    <t>[RDM]</t>
  </si>
  <si>
    <t>Redmond,OR</t>
  </si>
  <si>
    <t>[RBG]</t>
  </si>
  <si>
    <t>Roseburg,OR</t>
  </si>
  <si>
    <t>[SLE]</t>
  </si>
  <si>
    <t>Salem,OR</t>
  </si>
  <si>
    <t>[SXT]</t>
  </si>
  <si>
    <t>Sexton,OR</t>
  </si>
  <si>
    <t>[DLS]</t>
  </si>
  <si>
    <t>The</t>
  </si>
  <si>
    <t>Dalles,OR</t>
  </si>
  <si>
    <t>[TTD]</t>
  </si>
  <si>
    <t>Troutdale,OR</t>
  </si>
  <si>
    <t>[ABE]</t>
  </si>
  <si>
    <t>Allentown,PA</t>
  </si>
  <si>
    <t>[AOO]</t>
  </si>
  <si>
    <t>Altoona,PA</t>
  </si>
  <si>
    <t>[BVI]</t>
  </si>
  <si>
    <t>Beaver</t>
  </si>
  <si>
    <t>Falls,PA</t>
  </si>
  <si>
    <t>[BSI]</t>
  </si>
  <si>
    <t>Blairsville,PA</t>
  </si>
  <si>
    <t>[BFD]</t>
  </si>
  <si>
    <t>Bradford,PA</t>
  </si>
  <si>
    <t>[DUJ]</t>
  </si>
  <si>
    <t>Dubois,PA</t>
  </si>
  <si>
    <t>[ERI]</t>
  </si>
  <si>
    <t>Erie,PA</t>
  </si>
  <si>
    <t>[FKL]</t>
  </si>
  <si>
    <t>Franklin,PA</t>
  </si>
  <si>
    <t>[CXY]</t>
  </si>
  <si>
    <t>Harrisburg,PA</t>
  </si>
  <si>
    <t>[HAR]</t>
  </si>
  <si>
    <t>[JST]</t>
  </si>
  <si>
    <t>Johnstown,PA</t>
  </si>
  <si>
    <t>[LNS]</t>
  </si>
  <si>
    <t>Lancaster,PA</t>
  </si>
  <si>
    <t>[LBE]</t>
  </si>
  <si>
    <t>Latrobe,PA</t>
  </si>
  <si>
    <t>[MDT]</t>
  </si>
  <si>
    <t>Middletown,PA</t>
  </si>
  <si>
    <t>[MUI]</t>
  </si>
  <si>
    <t>Muir,PA</t>
  </si>
  <si>
    <t>[PNE]</t>
  </si>
  <si>
    <t>Nth</t>
  </si>
  <si>
    <t>Philadel,PA</t>
  </si>
  <si>
    <t>[PHL]</t>
  </si>
  <si>
    <t>Philadelphia,PA</t>
  </si>
  <si>
    <t>[PSB]</t>
  </si>
  <si>
    <t>Philipsburg,PA</t>
  </si>
  <si>
    <t>[AGC]</t>
  </si>
  <si>
    <t>Pittsburgh,PA</t>
  </si>
  <si>
    <t>[PIT]</t>
  </si>
  <si>
    <t>[RDG]</t>
  </si>
  <si>
    <t>Reading,PA</t>
  </si>
  <si>
    <t>[43M]</t>
  </si>
  <si>
    <t>Site</t>
  </si>
  <si>
    <t>R,PA</t>
  </si>
  <si>
    <t>[UNV]</t>
  </si>
  <si>
    <t>State</t>
  </si>
  <si>
    <t>Colleg,PA</t>
  </si>
  <si>
    <t>[AVP]</t>
  </si>
  <si>
    <t>Wilkes-Barre,PA</t>
  </si>
  <si>
    <t>[IPT]</t>
  </si>
  <si>
    <t>Williamsport,PA</t>
  </si>
  <si>
    <t>[NXX]</t>
  </si>
  <si>
    <t>Grove,PA</t>
  </si>
  <si>
    <t>[BID]</t>
  </si>
  <si>
    <t>Block</t>
  </si>
  <si>
    <t>Island,RI</t>
  </si>
  <si>
    <t>[OQU]</t>
  </si>
  <si>
    <t>Kingston,RI</t>
  </si>
  <si>
    <t>[PVD]</t>
  </si>
  <si>
    <t>Providence,RI</t>
  </si>
  <si>
    <t>[NCO]</t>
  </si>
  <si>
    <t>Quonset</t>
  </si>
  <si>
    <t>NAS,RI</t>
  </si>
  <si>
    <t>[AND]</t>
  </si>
  <si>
    <t>Anderson,SC</t>
  </si>
  <si>
    <t>[NBC]</t>
  </si>
  <si>
    <t>Beaufort</t>
  </si>
  <si>
    <t>Mca,SC</t>
  </si>
  <si>
    <t>[CHS]</t>
  </si>
  <si>
    <t>Charleston,SC</t>
  </si>
  <si>
    <t>[CAE]</t>
  </si>
  <si>
    <t>Columbia,SC</t>
  </si>
  <si>
    <t>[FLO]</t>
  </si>
  <si>
    <t>Florence,SC</t>
  </si>
  <si>
    <t>[GMU]</t>
  </si>
  <si>
    <t>Greenville,SC</t>
  </si>
  <si>
    <t>[GSP]</t>
  </si>
  <si>
    <t>[MMT]</t>
  </si>
  <si>
    <t>Mcentire,SC</t>
  </si>
  <si>
    <t>[MYR]</t>
  </si>
  <si>
    <t>Myrtle</t>
  </si>
  <si>
    <t>Beach,SC</t>
  </si>
  <si>
    <t>[CRE]</t>
  </si>
  <si>
    <t>B,SC</t>
  </si>
  <si>
    <t>[SSC]</t>
  </si>
  <si>
    <t>Shaw</t>
  </si>
  <si>
    <t>AFB,SC</t>
  </si>
  <si>
    <t>[SPA]</t>
  </si>
  <si>
    <t>Spartanburg,SC</t>
  </si>
  <si>
    <t>[ABR]</t>
  </si>
  <si>
    <t>Aberdeen,SD</t>
  </si>
  <si>
    <t>[BKX]</t>
  </si>
  <si>
    <t>Brookings,SD</t>
  </si>
  <si>
    <t>[9V9]</t>
  </si>
  <si>
    <t>Chamberlain,SD</t>
  </si>
  <si>
    <t>[CHB]</t>
  </si>
  <si>
    <t>[0V1]</t>
  </si>
  <si>
    <t>Custer,SD</t>
  </si>
  <si>
    <t>[RCA]</t>
  </si>
  <si>
    <t>Ellsworth</t>
  </si>
  <si>
    <t>Af,SD</t>
  </si>
  <si>
    <t>[HON]</t>
  </si>
  <si>
    <t>Huron,SD</t>
  </si>
  <si>
    <t>[Y22]</t>
  </si>
  <si>
    <t>Lemmon,SD</t>
  </si>
  <si>
    <t>[MHE]</t>
  </si>
  <si>
    <t>Mitchell,SD</t>
  </si>
  <si>
    <t>[Y26]</t>
  </si>
  <si>
    <t>Mobridge,SD</t>
  </si>
  <si>
    <t>[P05]</t>
  </si>
  <si>
    <t>Philip,SD</t>
  </si>
  <si>
    <t>[PHP]</t>
  </si>
  <si>
    <t>[PIR]</t>
  </si>
  <si>
    <t>Pierre,SD</t>
  </si>
  <si>
    <t>[RAP]</t>
  </si>
  <si>
    <t>Rapid</t>
  </si>
  <si>
    <t>City,SD</t>
  </si>
  <si>
    <t>[REJ]</t>
  </si>
  <si>
    <t>Redig,SD</t>
  </si>
  <si>
    <t>[FSD]</t>
  </si>
  <si>
    <t>Falls,SD</t>
  </si>
  <si>
    <t>[ATY]</t>
  </si>
  <si>
    <t>Watertown,SD</t>
  </si>
  <si>
    <t>[YKN]</t>
  </si>
  <si>
    <t>Yankton,SD</t>
  </si>
  <si>
    <t>[TRI]</t>
  </si>
  <si>
    <t>Bristol,TN</t>
  </si>
  <si>
    <t>[CHA]</t>
  </si>
  <si>
    <t>Chattanooga,TN</t>
  </si>
  <si>
    <t>[CKV]</t>
  </si>
  <si>
    <t>Clarksville,TN</t>
  </si>
  <si>
    <t>[CSV]</t>
  </si>
  <si>
    <t>Crossville,TN</t>
  </si>
  <si>
    <t>[DYR]</t>
  </si>
  <si>
    <t>Dyersburg,TN</t>
  </si>
  <si>
    <t>[MKL]</t>
  </si>
  <si>
    <t>Jackson,TN</t>
  </si>
  <si>
    <t>[TYS]</t>
  </si>
  <si>
    <t>Knoxville,TN</t>
  </si>
  <si>
    <t>[MEM]</t>
  </si>
  <si>
    <t>Memphis</t>
  </si>
  <si>
    <t>Intl,TN</t>
  </si>
  <si>
    <t>[NQA]</t>
  </si>
  <si>
    <t>NAS,TN</t>
  </si>
  <si>
    <t>[MGL]</t>
  </si>
  <si>
    <t>Monteagle,TN</t>
  </si>
  <si>
    <t>[BNA]</t>
  </si>
  <si>
    <t>Nashville,TN</t>
  </si>
  <si>
    <t>[MQY]</t>
  </si>
  <si>
    <t>Smyrna,TN</t>
  </si>
  <si>
    <t>[ABI]</t>
  </si>
  <si>
    <t>Abilene,TX</t>
  </si>
  <si>
    <t>[ALI]</t>
  </si>
  <si>
    <t>Alice,TX</t>
  </si>
  <si>
    <t>[AMA]</t>
  </si>
  <si>
    <t>Amarillo,TX</t>
  </si>
  <si>
    <t>[AUS]</t>
  </si>
  <si>
    <t>Austin,TX</t>
  </si>
  <si>
    <t>[BSM]</t>
  </si>
  <si>
    <t>Bergstrom</t>
  </si>
  <si>
    <t>Af,TX</t>
  </si>
  <si>
    <t>[BGS]</t>
  </si>
  <si>
    <t>Sky,TX</t>
  </si>
  <si>
    <t>[HCA]</t>
  </si>
  <si>
    <t>Spring,TX</t>
  </si>
  <si>
    <t>[BRO]</t>
  </si>
  <si>
    <t>Brownsville,TX</t>
  </si>
  <si>
    <t>[BWD]</t>
  </si>
  <si>
    <t>Brownwood,TX</t>
  </si>
  <si>
    <t>[FWH]</t>
  </si>
  <si>
    <t>Carswell</t>
  </si>
  <si>
    <t>AFB,TX</t>
  </si>
  <si>
    <t>[NIR]</t>
  </si>
  <si>
    <t>Chase</t>
  </si>
  <si>
    <t>NAS,TX</t>
  </si>
  <si>
    <t>[CDS]</t>
  </si>
  <si>
    <t>Childress,TX</t>
  </si>
  <si>
    <t>[CLL]</t>
  </si>
  <si>
    <t>College</t>
  </si>
  <si>
    <t>Stn,TX</t>
  </si>
  <si>
    <t>[CRP]</t>
  </si>
  <si>
    <t>Corpus</t>
  </si>
  <si>
    <t>Chrst,TX</t>
  </si>
  <si>
    <t>[NGP]</t>
  </si>
  <si>
    <t>[COT]</t>
  </si>
  <si>
    <t>Cotulla,TX</t>
  </si>
  <si>
    <t>[DWH]</t>
  </si>
  <si>
    <t>D.w.</t>
  </si>
  <si>
    <t>Hooks,TX</t>
  </si>
  <si>
    <t>[DHT]</t>
  </si>
  <si>
    <t>Dalhart,TX</t>
  </si>
  <si>
    <t>[NBE]</t>
  </si>
  <si>
    <t>Dallas</t>
  </si>
  <si>
    <t>[ADS]</t>
  </si>
  <si>
    <t>Dallas/Addis,TX</t>
  </si>
  <si>
    <t>[DFW]</t>
  </si>
  <si>
    <t>Dallas/FW,TX</t>
  </si>
  <si>
    <t>[DAL]</t>
  </si>
  <si>
    <t>Dallas/Love,TX</t>
  </si>
  <si>
    <t>[RBD]</t>
  </si>
  <si>
    <t>Dallas/Redbr,TX</t>
  </si>
  <si>
    <t>[DRT]</t>
  </si>
  <si>
    <t>Del</t>
  </si>
  <si>
    <t>Rio,TX</t>
  </si>
  <si>
    <t>[DYS]</t>
  </si>
  <si>
    <t>Dyess</t>
  </si>
  <si>
    <t>[ELP]</t>
  </si>
  <si>
    <t>Paso,TX</t>
  </si>
  <si>
    <t>[EFD]</t>
  </si>
  <si>
    <t>Ellington</t>
  </si>
  <si>
    <t>[FTW]</t>
  </si>
  <si>
    <t>Worth,TX</t>
  </si>
  <si>
    <t>[HLR]</t>
  </si>
  <si>
    <t>Hood</t>
  </si>
  <si>
    <t>Aaf,TX</t>
  </si>
  <si>
    <t>[GLS]</t>
  </si>
  <si>
    <t>Galveston,TX</t>
  </si>
  <si>
    <t>[GRK]</t>
  </si>
  <si>
    <t>Gray</t>
  </si>
  <si>
    <t>[GVT]</t>
  </si>
  <si>
    <t>Greenville,TX</t>
  </si>
  <si>
    <t>[GDP]</t>
  </si>
  <si>
    <t>Guadalupe</t>
  </si>
  <si>
    <t>Ps,TX</t>
  </si>
  <si>
    <t>[HRL]</t>
  </si>
  <si>
    <t>Harlingen,TX</t>
  </si>
  <si>
    <t>[HDO]</t>
  </si>
  <si>
    <t>Hondo,TX</t>
  </si>
  <si>
    <t>[IAH]</t>
  </si>
  <si>
    <t>Houston,TX</t>
  </si>
  <si>
    <t>[HOU]</t>
  </si>
  <si>
    <t>Houston/Hobby,TX</t>
  </si>
  <si>
    <t>[JCT]</t>
  </si>
  <si>
    <t>Junction,TX</t>
  </si>
  <si>
    <t>[SKF]</t>
  </si>
  <si>
    <t>Kelly</t>
  </si>
  <si>
    <t>[ERV]</t>
  </si>
  <si>
    <t>Kerrville,TX</t>
  </si>
  <si>
    <t>[ILE]</t>
  </si>
  <si>
    <t>Killeen,TX</t>
  </si>
  <si>
    <t>[NQI]</t>
  </si>
  <si>
    <t>Kingsville,TX</t>
  </si>
  <si>
    <t>[LRD]</t>
  </si>
  <si>
    <t>Laredo</t>
  </si>
  <si>
    <t>Intl,TX</t>
  </si>
  <si>
    <t>[DLF]</t>
  </si>
  <si>
    <t>Laughlin</t>
  </si>
  <si>
    <t>[GGG]</t>
  </si>
  <si>
    <t>Longview,TX</t>
  </si>
  <si>
    <t>[LBB]</t>
  </si>
  <si>
    <t>Lubbock,TX</t>
  </si>
  <si>
    <t>[LFK]</t>
  </si>
  <si>
    <t>Lufkin,TX</t>
  </si>
  <si>
    <t>[MRF]</t>
  </si>
  <si>
    <t>Marfa,TX</t>
  </si>
  <si>
    <t>[MFE]</t>
  </si>
  <si>
    <t>Mcallen,TX</t>
  </si>
  <si>
    <t>[MAF]</t>
  </si>
  <si>
    <t>Midland,TX</t>
  </si>
  <si>
    <t>[MWL]</t>
  </si>
  <si>
    <t>Mineral</t>
  </si>
  <si>
    <t>Wlls,TX</t>
  </si>
  <si>
    <t>[PSX]</t>
  </si>
  <si>
    <t>Palacios,TX</t>
  </si>
  <si>
    <t>[PRX]</t>
  </si>
  <si>
    <t>Paris/Cox,TX</t>
  </si>
  <si>
    <t>[PVW]</t>
  </si>
  <si>
    <t>Plainview,TX</t>
  </si>
  <si>
    <t>[BPT]</t>
  </si>
  <si>
    <t>Arthur,TX</t>
  </si>
  <si>
    <t>[RND]</t>
  </si>
  <si>
    <t>Randolph</t>
  </si>
  <si>
    <t>[REE]</t>
  </si>
  <si>
    <t>Reese</t>
  </si>
  <si>
    <t>[RKP]</t>
  </si>
  <si>
    <t>Rockport,TX</t>
  </si>
  <si>
    <t>[SJT]</t>
  </si>
  <si>
    <t>Angelo,TX</t>
  </si>
  <si>
    <t>[SAT]</t>
  </si>
  <si>
    <t>Antonio,TX</t>
  </si>
  <si>
    <t>[SSF]</t>
  </si>
  <si>
    <t>[P07]</t>
  </si>
  <si>
    <t>Sanderson,TX</t>
  </si>
  <si>
    <t>[F39]</t>
  </si>
  <si>
    <t>Sherman-Deni,TX</t>
  </si>
  <si>
    <t>[T46]</t>
  </si>
  <si>
    <t>Brazos,TX</t>
  </si>
  <si>
    <t>[SEP]</t>
  </si>
  <si>
    <t>Stephenville,TX</t>
  </si>
  <si>
    <t>[TPL]</t>
  </si>
  <si>
    <t>Temple,TX</t>
  </si>
  <si>
    <t>[TYR]</t>
  </si>
  <si>
    <t>Tyler/Pounds,TX</t>
  </si>
  <si>
    <t>[VCT]</t>
  </si>
  <si>
    <t>Victoria,TX</t>
  </si>
  <si>
    <t>[ACT]</t>
  </si>
  <si>
    <t>Waco-Madison,TX</t>
  </si>
  <si>
    <t>[SPS]</t>
  </si>
  <si>
    <t>Wichita</t>
  </si>
  <si>
    <t>Flls,TX</t>
  </si>
  <si>
    <t>[INK]</t>
  </si>
  <si>
    <t>Wink,TX</t>
  </si>
  <si>
    <t>[4BL]</t>
  </si>
  <si>
    <t>Blanding,UT</t>
  </si>
  <si>
    <t>[U17]</t>
  </si>
  <si>
    <t>Bullfrog</t>
  </si>
  <si>
    <t>Mar,UT</t>
  </si>
  <si>
    <t>[CDC]</t>
  </si>
  <si>
    <t>City,UT</t>
  </si>
  <si>
    <t>[U24]</t>
  </si>
  <si>
    <t>Delta,UT</t>
  </si>
  <si>
    <t>[DPG]</t>
  </si>
  <si>
    <t>Dugway</t>
  </si>
  <si>
    <t>Prvgr,UT</t>
  </si>
  <si>
    <t>[U16]</t>
  </si>
  <si>
    <t>Range,UT</t>
  </si>
  <si>
    <t>[U28]</t>
  </si>
  <si>
    <t>Green</t>
  </si>
  <si>
    <t>River,UT</t>
  </si>
  <si>
    <t>[4HV]</t>
  </si>
  <si>
    <t>Hanksville,UT</t>
  </si>
  <si>
    <t>[HIF]</t>
  </si>
  <si>
    <t>AFB,UT</t>
  </si>
  <si>
    <t>[LGU]</t>
  </si>
  <si>
    <t>Logan,UT</t>
  </si>
  <si>
    <t>[MLF]</t>
  </si>
  <si>
    <t>Milford,UT</t>
  </si>
  <si>
    <t>[CNY]</t>
  </si>
  <si>
    <t>Moab,UT</t>
  </si>
  <si>
    <t>[OGD]</t>
  </si>
  <si>
    <t>Ogden,UT</t>
  </si>
  <si>
    <t>[PUC]</t>
  </si>
  <si>
    <t>Price/Carbon,UT</t>
  </si>
  <si>
    <t>[PVU]</t>
  </si>
  <si>
    <t>Provo,UT</t>
  </si>
  <si>
    <t>[U67]</t>
  </si>
  <si>
    <t>Roosevelt,UT</t>
  </si>
  <si>
    <t>[SGU]</t>
  </si>
  <si>
    <t>George,UT</t>
  </si>
  <si>
    <t>[SLC]</t>
  </si>
  <si>
    <t>Salt</t>
  </si>
  <si>
    <t>Ct,UT</t>
  </si>
  <si>
    <t>[T62]</t>
  </si>
  <si>
    <t>Tooele,UT</t>
  </si>
  <si>
    <t>[VEL]</t>
  </si>
  <si>
    <t>Vernal,UT</t>
  </si>
  <si>
    <t>[ENV]</t>
  </si>
  <si>
    <t>Wendover,UT</t>
  </si>
  <si>
    <t>[BTV]</t>
  </si>
  <si>
    <t>Burlington,VT</t>
  </si>
  <si>
    <t>[MPV]</t>
  </si>
  <si>
    <t>Montpelier,VT</t>
  </si>
  <si>
    <t>[EFK]</t>
  </si>
  <si>
    <t>Newport,VT</t>
  </si>
  <si>
    <t>[RUT]</t>
  </si>
  <si>
    <t>Rutland,VT</t>
  </si>
  <si>
    <t>[9B2]</t>
  </si>
  <si>
    <t>Johnsbury,VT</t>
  </si>
  <si>
    <t>[MNW]</t>
  </si>
  <si>
    <t>Wilmington,VT</t>
  </si>
  <si>
    <t>[CHO]</t>
  </si>
  <si>
    <t>Charlottesvi,VA</t>
  </si>
  <si>
    <t>[W39]</t>
  </si>
  <si>
    <t>Chesapeake,VA</t>
  </si>
  <si>
    <t>[DAN]</t>
  </si>
  <si>
    <t>Danville,VA</t>
  </si>
  <si>
    <t>[DAA]</t>
  </si>
  <si>
    <t>Belvoir,VA</t>
  </si>
  <si>
    <t>[FAF]</t>
  </si>
  <si>
    <t>Eustis,VA</t>
  </si>
  <si>
    <t>[HSP]</t>
  </si>
  <si>
    <t>Springs,VA</t>
  </si>
  <si>
    <t>[LFI]</t>
  </si>
  <si>
    <t>Langley</t>
  </si>
  <si>
    <t>AFB,VA</t>
  </si>
  <si>
    <t>[LYH]</t>
  </si>
  <si>
    <t>Lynchburg,VA</t>
  </si>
  <si>
    <t>[PHF]</t>
  </si>
  <si>
    <t>Newport</t>
  </si>
  <si>
    <t>News,VA</t>
  </si>
  <si>
    <t>[NGU]</t>
  </si>
  <si>
    <t>Norfolk</t>
  </si>
  <si>
    <t>NAS,VA</t>
  </si>
  <si>
    <t>[ORF]</t>
  </si>
  <si>
    <t>Rgnl,VA</t>
  </si>
  <si>
    <t>[NTU]</t>
  </si>
  <si>
    <t>Oceana</t>
  </si>
  <si>
    <t>[NYG]</t>
  </si>
  <si>
    <t>Quantico</t>
  </si>
  <si>
    <t>Mca,VA</t>
  </si>
  <si>
    <t>[RIC]</t>
  </si>
  <si>
    <t>Richmond,VA</t>
  </si>
  <si>
    <t>[ROA]</t>
  </si>
  <si>
    <t>Roanoke</t>
  </si>
  <si>
    <t>Muni,VA</t>
  </si>
  <si>
    <t>[SHD]</t>
  </si>
  <si>
    <t>Staunton,VA</t>
  </si>
  <si>
    <t>[VQN]</t>
  </si>
  <si>
    <t>Volens,VA</t>
  </si>
  <si>
    <t>[WAL]</t>
  </si>
  <si>
    <t>Wallops</t>
  </si>
  <si>
    <t>Sta,VA</t>
  </si>
  <si>
    <t>[BLI]</t>
  </si>
  <si>
    <t>Bellingham,WA</t>
  </si>
  <si>
    <t>[PWT]</t>
  </si>
  <si>
    <t>Bremerton,WA</t>
  </si>
  <si>
    <t>[75S]</t>
  </si>
  <si>
    <t>Burlington,WA</t>
  </si>
  <si>
    <t>[63S]</t>
  </si>
  <si>
    <t>Colville,WA</t>
  </si>
  <si>
    <t>[EPH]</t>
  </si>
  <si>
    <t>Ephrata,WA</t>
  </si>
  <si>
    <t>[PAE]</t>
  </si>
  <si>
    <t>Everet/Paine,WA</t>
  </si>
  <si>
    <t>[SKA]</t>
  </si>
  <si>
    <t>Fairchild,WA</t>
  </si>
  <si>
    <t>[GRF]</t>
  </si>
  <si>
    <t>Lewis,WA</t>
  </si>
  <si>
    <t>[HMS]</t>
  </si>
  <si>
    <t>Hanford,WA</t>
  </si>
  <si>
    <t>[HQM]</t>
  </si>
  <si>
    <t>Hoquiam,WA</t>
  </si>
  <si>
    <t>[TCM]</t>
  </si>
  <si>
    <t>Mcchord</t>
  </si>
  <si>
    <t>AFB,WA</t>
  </si>
  <si>
    <t>[MWH]</t>
  </si>
  <si>
    <t>Moses</t>
  </si>
  <si>
    <t>Lake,WA</t>
  </si>
  <si>
    <t>[76S]</t>
  </si>
  <si>
    <t>Oak</t>
  </si>
  <si>
    <t>Harbor,WA</t>
  </si>
  <si>
    <t>[OLM]</t>
  </si>
  <si>
    <t>Olympia,WA</t>
  </si>
  <si>
    <t>[4OM]</t>
  </si>
  <si>
    <t>Omak,WA</t>
  </si>
  <si>
    <t>[PSC]</t>
  </si>
  <si>
    <t>Pasco,WA</t>
  </si>
  <si>
    <t>[CLM]</t>
  </si>
  <si>
    <t>Angeles,WA</t>
  </si>
  <si>
    <t>[NOW]</t>
  </si>
  <si>
    <t>[PUW]</t>
  </si>
  <si>
    <t>Pullman,WA</t>
  </si>
  <si>
    <t>[UIL]</t>
  </si>
  <si>
    <t>Quillayute,WA</t>
  </si>
  <si>
    <t>[RNT]</t>
  </si>
  <si>
    <t>Renton,WA</t>
  </si>
  <si>
    <t>[SEA]</t>
  </si>
  <si>
    <t>Seattle,WA</t>
  </si>
  <si>
    <t>[BFI]</t>
  </si>
  <si>
    <t>Seattle/Boeing,WA</t>
  </si>
  <si>
    <t>[SHN]</t>
  </si>
  <si>
    <t>Shelton,WA</t>
  </si>
  <si>
    <t>[GEG]</t>
  </si>
  <si>
    <t>Spokane,WA</t>
  </si>
  <si>
    <t>[SFF]</t>
  </si>
  <si>
    <t>[SMP]</t>
  </si>
  <si>
    <t>Stampede</t>
  </si>
  <si>
    <t>Pas,WA</t>
  </si>
  <si>
    <t>[TIW]</t>
  </si>
  <si>
    <t>Tacoma,WA</t>
  </si>
  <si>
    <t>[TDO]</t>
  </si>
  <si>
    <t>Toledo,WA</t>
  </si>
  <si>
    <t>[ALW]</t>
  </si>
  <si>
    <t>Walla</t>
  </si>
  <si>
    <t>Walla,WA</t>
  </si>
  <si>
    <t>[EAT]</t>
  </si>
  <si>
    <t>Wenatchee,WA</t>
  </si>
  <si>
    <t>[NUW]</t>
  </si>
  <si>
    <t>Whidbey</t>
  </si>
  <si>
    <t>Is,WA</t>
  </si>
  <si>
    <t>[YKM]</t>
  </si>
  <si>
    <t>Yakima,WA</t>
  </si>
  <si>
    <t>[BKW]</t>
  </si>
  <si>
    <t>Beckley,WV</t>
  </si>
  <si>
    <t>[BLF]</t>
  </si>
  <si>
    <t>Bluefield,WV</t>
  </si>
  <si>
    <t>[CRW]</t>
  </si>
  <si>
    <t>Charleston,WV</t>
  </si>
  <si>
    <t>[CKB]</t>
  </si>
  <si>
    <t>Clarksburg,WV</t>
  </si>
  <si>
    <t>[EKN]</t>
  </si>
  <si>
    <t>Elkins,WV</t>
  </si>
  <si>
    <t>[HTS]</t>
  </si>
  <si>
    <t>Huntington,WV</t>
  </si>
  <si>
    <t>[LWB]</t>
  </si>
  <si>
    <t>Lewisburg,WV</t>
  </si>
  <si>
    <t>[MRB]</t>
  </si>
  <si>
    <t>Martinsburg,WV</t>
  </si>
  <si>
    <t>[MGW]</t>
  </si>
  <si>
    <t>Morgantown,WV</t>
  </si>
  <si>
    <t>[PKB]</t>
  </si>
  <si>
    <t>Parkersburg,WV</t>
  </si>
  <si>
    <t>[HLG]</t>
  </si>
  <si>
    <t>Wheeling,WV</t>
  </si>
  <si>
    <t>[SSU]</t>
  </si>
  <si>
    <t>Sulph,WV</t>
  </si>
  <si>
    <t>[ATW]</t>
  </si>
  <si>
    <t>Appleton,WI</t>
  </si>
  <si>
    <t>[EAU]</t>
  </si>
  <si>
    <t>Eau</t>
  </si>
  <si>
    <t>Claire,WI</t>
  </si>
  <si>
    <t>[GRB]</t>
  </si>
  <si>
    <t>Bay,WI</t>
  </si>
  <si>
    <t>[JVL]</t>
  </si>
  <si>
    <t>Janesville,WI</t>
  </si>
  <si>
    <t>[LSE]</t>
  </si>
  <si>
    <t>Crosse,WI</t>
  </si>
  <si>
    <t>[LNR]</t>
  </si>
  <si>
    <t>Lone</t>
  </si>
  <si>
    <t>Rock,WI</t>
  </si>
  <si>
    <t>[MSN]</t>
  </si>
  <si>
    <t>Madison,WI</t>
  </si>
  <si>
    <t>[MTW]</t>
  </si>
  <si>
    <t>Manitowac,WI</t>
  </si>
  <si>
    <t>[MKE]</t>
  </si>
  <si>
    <t>Milwaukee,WI</t>
  </si>
  <si>
    <t>[MWC]</t>
  </si>
  <si>
    <t>[CWA]</t>
  </si>
  <si>
    <t>Mosinee,WI</t>
  </si>
  <si>
    <t>[EEW]</t>
  </si>
  <si>
    <t>Neenah,WI</t>
  </si>
  <si>
    <t>[OSH]</t>
  </si>
  <si>
    <t>Oshkosh,WI</t>
  </si>
  <si>
    <t>[RHI]</t>
  </si>
  <si>
    <t>Rhinelander,WI</t>
  </si>
  <si>
    <t>[RIE]</t>
  </si>
  <si>
    <t>Rice</t>
  </si>
  <si>
    <t>Lake,WI</t>
  </si>
  <si>
    <t>[VOK]</t>
  </si>
  <si>
    <t>Volk</t>
  </si>
  <si>
    <t>Fld,WI</t>
  </si>
  <si>
    <t>[AUW]</t>
  </si>
  <si>
    <t>Wausau,WI</t>
  </si>
  <si>
    <t>[BPI]</t>
  </si>
  <si>
    <t>Piney,WY</t>
  </si>
  <si>
    <t>[CPR]</t>
  </si>
  <si>
    <t>Casper,WY</t>
  </si>
  <si>
    <t>[CYS]</t>
  </si>
  <si>
    <t>Cheyenne,WY</t>
  </si>
  <si>
    <t>[COD]</t>
  </si>
  <si>
    <t>Cody,WY</t>
  </si>
  <si>
    <t>[4DG]</t>
  </si>
  <si>
    <t>Douglas,WY</t>
  </si>
  <si>
    <t>[EVW]</t>
  </si>
  <si>
    <t>Evanston,WY</t>
  </si>
  <si>
    <t>[GCC]</t>
  </si>
  <si>
    <t>Gillette,WY</t>
  </si>
  <si>
    <t>[JAC]</t>
  </si>
  <si>
    <t>Jackson,WY</t>
  </si>
  <si>
    <t>[LND]</t>
  </si>
  <si>
    <t>Lander,WY</t>
  </si>
  <si>
    <t>[LAR]</t>
  </si>
  <si>
    <t>Laramie,WY</t>
  </si>
  <si>
    <t>[4MC]</t>
  </si>
  <si>
    <t>Moorcroft,WY</t>
  </si>
  <si>
    <t>[RWL]</t>
  </si>
  <si>
    <t>Rawlins,WY</t>
  </si>
  <si>
    <t>[RIW]</t>
  </si>
  <si>
    <t>Riverton,WY</t>
  </si>
  <si>
    <t>[RKS]</t>
  </si>
  <si>
    <t>Rock</t>
  </si>
  <si>
    <t>Springs,WY</t>
  </si>
  <si>
    <t>[SHR]</t>
  </si>
  <si>
    <t>Sheridan,WY</t>
  </si>
  <si>
    <t>[WRL]</t>
  </si>
  <si>
    <t>Worland,WY</t>
  </si>
  <si>
    <t>[P60]</t>
  </si>
  <si>
    <t>Yellowstone,WY</t>
  </si>
  <si>
    <t>Find</t>
  </si>
  <si>
    <t>out</t>
  </si>
  <si>
    <t>more</t>
  </si>
  <si>
    <t>about</t>
  </si>
  <si>
    <t>RealEstate3D.com,</t>
  </si>
  <si>
    <t>email info@realestate3d.com.</t>
  </si>
  <si>
    <t>Copyright</t>
  </si>
  <si>
    <t>©</t>
  </si>
  <si>
    <t>1996-1997</t>
  </si>
  <si>
    <t>Orogo</t>
  </si>
  <si>
    <t>Technologies</t>
  </si>
  <si>
    <t>https://www.w3.org/2003/01/geo/test/ustowns/latlong.htm</t>
  </si>
  <si>
    <t>City</t>
  </si>
  <si>
    <t xml:space="preserve">Anniston,AL  </t>
  </si>
  <si>
    <t xml:space="preserve">Auburn,AL  </t>
  </si>
  <si>
    <t xml:space="preserve">Birmingham,AL  </t>
  </si>
  <si>
    <t xml:space="preserve">Centreville,AL  </t>
  </si>
  <si>
    <t xml:space="preserve">Dothan,AL  </t>
  </si>
  <si>
    <t xml:space="preserve">Fort Rucker,AL </t>
  </si>
  <si>
    <t xml:space="preserve">Gadsden,AL  </t>
  </si>
  <si>
    <t xml:space="preserve">Huntsville,AL  </t>
  </si>
  <si>
    <t xml:space="preserve">Maxwell AFB,AL </t>
  </si>
  <si>
    <t xml:space="preserve">Mobile,AL  </t>
  </si>
  <si>
    <t xml:space="preserve">Mobile Aeros,AL </t>
  </si>
  <si>
    <t xml:space="preserve">Montgomery,AL  </t>
  </si>
  <si>
    <t xml:space="preserve">Muscle Shoal,AL </t>
  </si>
  <si>
    <t xml:space="preserve">Selma,AL  </t>
  </si>
  <si>
    <t xml:space="preserve">Troy,AL  </t>
  </si>
  <si>
    <t xml:space="preserve">Tuscaloosa,AL  </t>
  </si>
  <si>
    <t xml:space="preserve">  </t>
  </si>
  <si>
    <t xml:space="preserve">Adak,AK  </t>
  </si>
  <si>
    <t xml:space="preserve">Ambler,AK  </t>
  </si>
  <si>
    <t xml:space="preserve">Anchorage,AK  </t>
  </si>
  <si>
    <t xml:space="preserve">Angoon,AK  </t>
  </si>
  <si>
    <t xml:space="preserve">Aniak,AK  </t>
  </si>
  <si>
    <t xml:space="preserve">Annette Isl,AK </t>
  </si>
  <si>
    <t xml:space="preserve">Attu,AK  </t>
  </si>
  <si>
    <t xml:space="preserve">Barrow,AK  </t>
  </si>
  <si>
    <t xml:space="preserve">Barter Islan,AK </t>
  </si>
  <si>
    <t xml:space="preserve">Bethel Arpt,AK </t>
  </si>
  <si>
    <t xml:space="preserve">Bettles,AK  </t>
  </si>
  <si>
    <t xml:space="preserve">Big Delta,AK </t>
  </si>
  <si>
    <t>Big River Lk,AK</t>
  </si>
  <si>
    <t xml:space="preserve">Cantwell,AK  </t>
  </si>
  <si>
    <t xml:space="preserve">Cape Decis,AK </t>
  </si>
  <si>
    <t xml:space="preserve">Cape Hinchi,AK </t>
  </si>
  <si>
    <t xml:space="preserve">Cape Spence,AK </t>
  </si>
  <si>
    <t>Cape St Eli,AK</t>
  </si>
  <si>
    <t xml:space="preserve">Chandalar Lk,AK </t>
  </si>
  <si>
    <t xml:space="preserve">Chulitna,AK  </t>
  </si>
  <si>
    <t xml:space="preserve">Circle City,AK </t>
  </si>
  <si>
    <t xml:space="preserve">Cold Bay,AK </t>
  </si>
  <si>
    <t xml:space="preserve">Cordova,AK  </t>
  </si>
  <si>
    <t xml:space="preserve">Craig,AK  </t>
  </si>
  <si>
    <t xml:space="preserve">Deadhorse,AK  </t>
  </si>
  <si>
    <t xml:space="preserve">Dillingham,AK  </t>
  </si>
  <si>
    <t xml:space="preserve">Duffys Tavern,AK </t>
  </si>
  <si>
    <t xml:space="preserve">Dutch Harbor,AK </t>
  </si>
  <si>
    <t xml:space="preserve">Eagle Arpt,AK </t>
  </si>
  <si>
    <t xml:space="preserve">Eldred Rock,AK </t>
  </si>
  <si>
    <t xml:space="preserve">Elfin Cove,AK </t>
  </si>
  <si>
    <t xml:space="preserve">Fairbanks,AK  </t>
  </si>
  <si>
    <t xml:space="preserve">Farewell,AK  </t>
  </si>
  <si>
    <t xml:space="preserve">Five Finger,AK </t>
  </si>
  <si>
    <t xml:space="preserve">Five Mile,AK </t>
  </si>
  <si>
    <t xml:space="preserve">Fort Yukon,AK </t>
  </si>
  <si>
    <t xml:space="preserve">Funter Bay,AK </t>
  </si>
  <si>
    <t xml:space="preserve">Galbraith Lk,AK </t>
  </si>
  <si>
    <t xml:space="preserve">Gambell,AK  </t>
  </si>
  <si>
    <t xml:space="preserve">Gulkana Arpt,AK </t>
  </si>
  <si>
    <t xml:space="preserve">Gustavus,AK  </t>
  </si>
  <si>
    <t xml:space="preserve">Haines Hrbor,AK </t>
  </si>
  <si>
    <t xml:space="preserve">Hayes River,AK </t>
  </si>
  <si>
    <t xml:space="preserve">Healy River,AK </t>
  </si>
  <si>
    <t xml:space="preserve">Homer,AK  </t>
  </si>
  <si>
    <t xml:space="preserve">Hoonah Seapl,AK </t>
  </si>
  <si>
    <t xml:space="preserve">Iliamna Arpt,AK </t>
  </si>
  <si>
    <t xml:space="preserve">Juneau,AK  </t>
  </si>
  <si>
    <t xml:space="preserve">Kake Seaplan,AK </t>
  </si>
  <si>
    <t xml:space="preserve">Kenai,AK  </t>
  </si>
  <si>
    <t xml:space="preserve">Ketchikan,AK  </t>
  </si>
  <si>
    <t xml:space="preserve">King Salmon,AK </t>
  </si>
  <si>
    <t xml:space="preserve">Kodiak,AK  </t>
  </si>
  <si>
    <t xml:space="preserve">Kotzebue,AK  </t>
  </si>
  <si>
    <t xml:space="preserve">Lazy Mtn,AK </t>
  </si>
  <si>
    <t xml:space="preserve">Lonely (dew),AK </t>
  </si>
  <si>
    <t>Manley Ht Sp,AK</t>
  </si>
  <si>
    <t xml:space="preserve">Mccarthy,AK  </t>
  </si>
  <si>
    <t xml:space="preserve">Mcgrath,AK  </t>
  </si>
  <si>
    <t xml:space="preserve">Mekoryuk,AK  </t>
  </si>
  <si>
    <t xml:space="preserve">Middleton Is,AK </t>
  </si>
  <si>
    <t xml:space="preserve">Minchumina,AK  </t>
  </si>
  <si>
    <t xml:space="preserve">Nenana,AK  </t>
  </si>
  <si>
    <t xml:space="preserve">New Andreafs,AK </t>
  </si>
  <si>
    <t xml:space="preserve">Nikolski,AK  </t>
  </si>
  <si>
    <t xml:space="preserve">Nome,AK  </t>
  </si>
  <si>
    <t xml:space="preserve">Northway,AK  </t>
  </si>
  <si>
    <t xml:space="preserve">Oliktok Dew,AK </t>
  </si>
  <si>
    <t xml:space="preserve">Palmer,AK  </t>
  </si>
  <si>
    <t xml:space="preserve">Paxson,AK  </t>
  </si>
  <si>
    <t xml:space="preserve">Petersburg,AK  </t>
  </si>
  <si>
    <t xml:space="preserve">Point Lay,AK </t>
  </si>
  <si>
    <t xml:space="preserve">Port Alexndr,AK </t>
  </si>
  <si>
    <t xml:space="preserve">Port Clarnce,AK </t>
  </si>
  <si>
    <t xml:space="preserve">Port Heiden,AK </t>
  </si>
  <si>
    <t xml:space="preserve">Prospect Crk,AK </t>
  </si>
  <si>
    <t xml:space="preserve">Prudhoe Bay,AK </t>
  </si>
  <si>
    <t xml:space="preserve">Pt Alsworth,AK </t>
  </si>
  <si>
    <t xml:space="preserve">Puntilla,AK  </t>
  </si>
  <si>
    <t xml:space="preserve">Sand Point,AK </t>
  </si>
  <si>
    <t xml:space="preserve">Seward,AK  </t>
  </si>
  <si>
    <t xml:space="preserve">Shemy,AK  </t>
  </si>
  <si>
    <t xml:space="preserve">Shishmaref,AK  </t>
  </si>
  <si>
    <t xml:space="preserve">Sitka,AK  </t>
  </si>
  <si>
    <t xml:space="preserve">Sitkinak,AK  </t>
  </si>
  <si>
    <t xml:space="preserve">Skagway,AK  </t>
  </si>
  <si>
    <t xml:space="preserve">Skwentna,AK  </t>
  </si>
  <si>
    <t xml:space="preserve">Snowshoe Lk,AK </t>
  </si>
  <si>
    <t>St Paul Is,AK</t>
  </si>
  <si>
    <t xml:space="preserve">Tahneta Pass,AK </t>
  </si>
  <si>
    <t xml:space="preserve">Talkeetna,AK  </t>
  </si>
  <si>
    <t xml:space="preserve">Tanana,AK  </t>
  </si>
  <si>
    <t xml:space="preserve">Umiat,AK  </t>
  </si>
  <si>
    <t xml:space="preserve">Unalakleet,AK  </t>
  </si>
  <si>
    <t xml:space="preserve">Valdez,AK  </t>
  </si>
  <si>
    <t xml:space="preserve">Valdez 2,AK </t>
  </si>
  <si>
    <t xml:space="preserve">Wainwright,AK  </t>
  </si>
  <si>
    <t xml:space="preserve">Wales,AK  </t>
  </si>
  <si>
    <t xml:space="preserve">Whittier,AK  </t>
  </si>
  <si>
    <t xml:space="preserve">Willow Arpt,AK </t>
  </si>
  <si>
    <t xml:space="preserve">Wrangell,AK  </t>
  </si>
  <si>
    <t xml:space="preserve">Yakutat,AK  </t>
  </si>
  <si>
    <t xml:space="preserve">Davis-M AFB,AZ </t>
  </si>
  <si>
    <t xml:space="preserve">Deer Valley,AZ </t>
  </si>
  <si>
    <t xml:space="preserve">Douglas,AZ  </t>
  </si>
  <si>
    <t xml:space="preserve">Falcon Fld,AZ </t>
  </si>
  <si>
    <t xml:space="preserve">Flagstaff,AZ  </t>
  </si>
  <si>
    <t xml:space="preserve">Fort Huachuc,AZ </t>
  </si>
  <si>
    <t xml:space="preserve">Gila Bend,AZ </t>
  </si>
  <si>
    <t xml:space="preserve">Goodyear,AZ  </t>
  </si>
  <si>
    <t xml:space="preserve">Grand Canyon,AZ </t>
  </si>
  <si>
    <t xml:space="preserve">Kingman,AZ  </t>
  </si>
  <si>
    <t xml:space="preserve">Luke,AZ  </t>
  </si>
  <si>
    <t xml:space="preserve">Page,AZ  </t>
  </si>
  <si>
    <t xml:space="preserve">Payson,AZ  </t>
  </si>
  <si>
    <t xml:space="preserve">Phoenix,AZ  </t>
  </si>
  <si>
    <t xml:space="preserve">Prescott,AZ  </t>
  </si>
  <si>
    <t xml:space="preserve">Safford Awrs,AZ </t>
  </si>
  <si>
    <t xml:space="preserve">Scottsdale,AZ  </t>
  </si>
  <si>
    <t xml:space="preserve">Show Low,AZ </t>
  </si>
  <si>
    <t xml:space="preserve">Tucson,AZ  </t>
  </si>
  <si>
    <t xml:space="preserve">Williams AFB,AZ </t>
  </si>
  <si>
    <t xml:space="preserve">Winslow,AZ  </t>
  </si>
  <si>
    <t xml:space="preserve">Yuma,AZ  </t>
  </si>
  <si>
    <t xml:space="preserve">Yuma Mcas,AZ </t>
  </si>
  <si>
    <t>Yuma Prv Gd,AZ</t>
  </si>
  <si>
    <t xml:space="preserve">Blytheville,AR  </t>
  </si>
  <si>
    <t xml:space="preserve">Camden,AR  </t>
  </si>
  <si>
    <t xml:space="preserve">El Dorado,AR </t>
  </si>
  <si>
    <t xml:space="preserve">Fayetteville,AR  </t>
  </si>
  <si>
    <t xml:space="preserve">Ft Smith,AR </t>
  </si>
  <si>
    <t xml:space="preserve">Harrison,AR  </t>
  </si>
  <si>
    <t xml:space="preserve">Hot Springs,AR </t>
  </si>
  <si>
    <t xml:space="preserve">Jonesboro,AR  </t>
  </si>
  <si>
    <t xml:space="preserve">Little Rock,AR </t>
  </si>
  <si>
    <t xml:space="preserve">Pine Bluff,AR </t>
  </si>
  <si>
    <t xml:space="preserve">Springdale,AR  </t>
  </si>
  <si>
    <t xml:space="preserve">Texarkana,AR  </t>
  </si>
  <si>
    <t xml:space="preserve">Walnut Ridge,AR </t>
  </si>
  <si>
    <t xml:space="preserve">Alameda NAS,CA </t>
  </si>
  <si>
    <t xml:space="preserve">Alturas,CA  </t>
  </si>
  <si>
    <t xml:space="preserve">Arcata,CA  </t>
  </si>
  <si>
    <t xml:space="preserve">Bakersfield,CA  </t>
  </si>
  <si>
    <t xml:space="preserve">Beale AFB,CA </t>
  </si>
  <si>
    <t xml:space="preserve">Beaumont,CA  </t>
  </si>
  <si>
    <t xml:space="preserve">Bicycle Lk,CA </t>
  </si>
  <si>
    <t>Big Bear Apt,CA</t>
  </si>
  <si>
    <t xml:space="preserve">Bishop,CA  </t>
  </si>
  <si>
    <t xml:space="preserve">Blue Canyon,CA </t>
  </si>
  <si>
    <t xml:space="preserve">Blythe,CA  </t>
  </si>
  <si>
    <t xml:space="preserve">Burbank,CA  </t>
  </si>
  <si>
    <t xml:space="preserve">Camp Pendlet,CA </t>
  </si>
  <si>
    <t xml:space="preserve">Campo,CA  </t>
  </si>
  <si>
    <t xml:space="preserve">Carlsbad,CA  </t>
  </si>
  <si>
    <t xml:space="preserve">Castle AFB,CA </t>
  </si>
  <si>
    <t xml:space="preserve">Chico,CA  </t>
  </si>
  <si>
    <t xml:space="preserve">China Lake,CA </t>
  </si>
  <si>
    <t xml:space="preserve">Chino,CA  </t>
  </si>
  <si>
    <t xml:space="preserve">Concord,CA  </t>
  </si>
  <si>
    <t xml:space="preserve">Crescent Cty,CA </t>
  </si>
  <si>
    <t xml:space="preserve">Daggett,CA  </t>
  </si>
  <si>
    <t xml:space="preserve">Edwards AFB,CA </t>
  </si>
  <si>
    <t xml:space="preserve">El Centro,CA </t>
  </si>
  <si>
    <t xml:space="preserve">El Monte,CA </t>
  </si>
  <si>
    <t xml:space="preserve">El Toro,CA </t>
  </si>
  <si>
    <t xml:space="preserve">Eureka,CA  </t>
  </si>
  <si>
    <t xml:space="preserve">Fort Hunter,CA </t>
  </si>
  <si>
    <t xml:space="preserve">Fort Ord,CA </t>
  </si>
  <si>
    <t xml:space="preserve">Fresno,CA  </t>
  </si>
  <si>
    <t xml:space="preserve">Fullerton,CA  </t>
  </si>
  <si>
    <t xml:space="preserve">George AFB,CA </t>
  </si>
  <si>
    <t xml:space="preserve">Hawthorne,CA  </t>
  </si>
  <si>
    <t xml:space="preserve">Hayward,CA  </t>
  </si>
  <si>
    <t xml:space="preserve">Imperial,CA  </t>
  </si>
  <si>
    <t xml:space="preserve">Imperial Bch,CA </t>
  </si>
  <si>
    <t xml:space="preserve">La Verne,CA </t>
  </si>
  <si>
    <t xml:space="preserve">Lake Tahoe,CA </t>
  </si>
  <si>
    <t xml:space="preserve">Lancaster,CA  </t>
  </si>
  <si>
    <t xml:space="preserve">Lemoore NAS,CA </t>
  </si>
  <si>
    <t xml:space="preserve">Livermore,CA  </t>
  </si>
  <si>
    <t xml:space="preserve">Los Alamitos,CA </t>
  </si>
  <si>
    <t xml:space="preserve">Mammoth Lks,CA </t>
  </si>
  <si>
    <t xml:space="preserve">March AFB,CA </t>
  </si>
  <si>
    <t xml:space="preserve">Marysville,CA  </t>
  </si>
  <si>
    <t xml:space="preserve">Mather AFB,CA </t>
  </si>
  <si>
    <t xml:space="preserve">Mcclellan,CA  </t>
  </si>
  <si>
    <t xml:space="preserve">Merced,CA  </t>
  </si>
  <si>
    <t xml:space="preserve">Miramar NAS,CA </t>
  </si>
  <si>
    <t xml:space="preserve">Modesto,CA  </t>
  </si>
  <si>
    <t xml:space="preserve">Moffet NAS,CA </t>
  </si>
  <si>
    <t xml:space="preserve">Mojave,CA  </t>
  </si>
  <si>
    <t xml:space="preserve">Montague,CA  </t>
  </si>
  <si>
    <t xml:space="preserve">Monterey,CA  </t>
  </si>
  <si>
    <t xml:space="preserve">Mount Shasta,CA </t>
  </si>
  <si>
    <t xml:space="preserve">Mount Wilson,CA </t>
  </si>
  <si>
    <t xml:space="preserve">Napa,CA  </t>
  </si>
  <si>
    <t xml:space="preserve">Needles,CA  </t>
  </si>
  <si>
    <t xml:space="preserve">North Is,CA </t>
  </si>
  <si>
    <t xml:space="preserve">Norton AFB,CA </t>
  </si>
  <si>
    <t xml:space="preserve">Oakland,CA  </t>
  </si>
  <si>
    <t xml:space="preserve">Ontario Intl,CA </t>
  </si>
  <si>
    <t xml:space="preserve">Oxnard,CA  </t>
  </si>
  <si>
    <t xml:space="preserve">Palm Springs,CA </t>
  </si>
  <si>
    <t xml:space="preserve">Palmdale,CA  </t>
  </si>
  <si>
    <t xml:space="preserve">Palo Alto,CA </t>
  </si>
  <si>
    <t xml:space="preserve">Paso Robles,CA </t>
  </si>
  <si>
    <t xml:space="preserve">Pillaro Pt,CA </t>
  </si>
  <si>
    <t xml:space="preserve">Point Mugu,CA </t>
  </si>
  <si>
    <t xml:space="preserve">Pt Arena,CA </t>
  </si>
  <si>
    <t xml:space="preserve">Pt Arguello,CA </t>
  </si>
  <si>
    <t xml:space="preserve">Pt Piedras,CA </t>
  </si>
  <si>
    <t xml:space="preserve">Red Bluff,CA </t>
  </si>
  <si>
    <t xml:space="preserve">Redding,CA  </t>
  </si>
  <si>
    <t xml:space="preserve">Riverside,CA  </t>
  </si>
  <si>
    <t xml:space="preserve">Sacramento,CA  </t>
  </si>
  <si>
    <t xml:space="preserve">Salinas,CA  </t>
  </si>
  <si>
    <t xml:space="preserve">San Carlos,CA </t>
  </si>
  <si>
    <t xml:space="preserve">San Clemente,CA </t>
  </si>
  <si>
    <t xml:space="preserve">San Diego,CA </t>
  </si>
  <si>
    <t xml:space="preserve">San Francisco,CA </t>
  </si>
  <si>
    <t xml:space="preserve">San Jose/Rei,CA </t>
  </si>
  <si>
    <t>San Luis Obi,CA</t>
  </si>
  <si>
    <t xml:space="preserve">San Mateo,CA </t>
  </si>
  <si>
    <t xml:space="preserve">San Miguel,CA </t>
  </si>
  <si>
    <t>San Nic Isl,CA</t>
  </si>
  <si>
    <t xml:space="preserve">Sandburg,CA  </t>
  </si>
  <si>
    <t xml:space="preserve">Santa Ana,CA </t>
  </si>
  <si>
    <t xml:space="preserve">Santa Barb,CA </t>
  </si>
  <si>
    <t xml:space="preserve">Santa Maria,CA </t>
  </si>
  <si>
    <t xml:space="preserve">Santa Monica,CA </t>
  </si>
  <si>
    <t xml:space="preserve">Santa Rosa,CA </t>
  </si>
  <si>
    <t xml:space="preserve">Shelter Cove,CA </t>
  </si>
  <si>
    <t xml:space="preserve">Siskiyou,CA  </t>
  </si>
  <si>
    <t xml:space="preserve">Stockton,CA  </t>
  </si>
  <si>
    <t xml:space="preserve">Superior Val,CA </t>
  </si>
  <si>
    <t xml:space="preserve">Susanville,CA  </t>
  </si>
  <si>
    <t xml:space="preserve">Thermal,CA  </t>
  </si>
  <si>
    <t xml:space="preserve">Torrance,CA  </t>
  </si>
  <si>
    <t xml:space="preserve">Travis AFB,CA </t>
  </si>
  <si>
    <t xml:space="preserve">Truckee-Tahoe,CA  </t>
  </si>
  <si>
    <t xml:space="preserve">Tustin Mcas,CA </t>
  </si>
  <si>
    <t xml:space="preserve">Twenty9 Palm,CA </t>
  </si>
  <si>
    <t xml:space="preserve">Ukiah,CA  </t>
  </si>
  <si>
    <t xml:space="preserve">Van Nuys,CA </t>
  </si>
  <si>
    <t xml:space="preserve">Vandenberg,CA  </t>
  </si>
  <si>
    <t xml:space="preserve">Visalia,CA  </t>
  </si>
  <si>
    <t>Air Force A,CO</t>
  </si>
  <si>
    <t xml:space="preserve">Akron,CO  </t>
  </si>
  <si>
    <t xml:space="preserve">Alamosa,CO  </t>
  </si>
  <si>
    <t xml:space="preserve">Aspen,CO  </t>
  </si>
  <si>
    <t xml:space="preserve">Brmfield/Jef,CO  </t>
  </si>
  <si>
    <t xml:space="preserve">Buckley,CO  </t>
  </si>
  <si>
    <t xml:space="preserve">Colo Sprgs,CO </t>
  </si>
  <si>
    <t xml:space="preserve">Cortez,CO  </t>
  </si>
  <si>
    <t xml:space="preserve">Craig-Moffat,CO  </t>
  </si>
  <si>
    <t xml:space="preserve">Denver,CO  </t>
  </si>
  <si>
    <t xml:space="preserve">Durango,CO  </t>
  </si>
  <si>
    <t xml:space="preserve">Eagle,CO  </t>
  </si>
  <si>
    <t xml:space="preserve">Englewood,CO  </t>
  </si>
  <si>
    <t xml:space="preserve">Fort Carson,CO </t>
  </si>
  <si>
    <t xml:space="preserve">Fraser,CO  </t>
  </si>
  <si>
    <t xml:space="preserve">Ft Col/Lovel,CO </t>
  </si>
  <si>
    <t xml:space="preserve">Ft Collins,CO </t>
  </si>
  <si>
    <t xml:space="preserve">Grand Jct,CO </t>
  </si>
  <si>
    <t xml:space="preserve">Greeley-Wld,CO  </t>
  </si>
  <si>
    <t xml:space="preserve">Gunnison,CO  </t>
  </si>
  <si>
    <t xml:space="preserve">La Junta,CO </t>
  </si>
  <si>
    <t xml:space="preserve">Lamar,CO  </t>
  </si>
  <si>
    <t xml:space="preserve">Leadville,CO  </t>
  </si>
  <si>
    <t xml:space="preserve">Limon,CO  </t>
  </si>
  <si>
    <t xml:space="preserve">Montrose,CO  </t>
  </si>
  <si>
    <t xml:space="preserve">Pueblo,CO  </t>
  </si>
  <si>
    <t xml:space="preserve">Rifle,CO  </t>
  </si>
  <si>
    <t xml:space="preserve">Salida,CO  </t>
  </si>
  <si>
    <t xml:space="preserve">Steamboat Sp,CO </t>
  </si>
  <si>
    <t xml:space="preserve">Trinidad,CO  </t>
  </si>
  <si>
    <t xml:space="preserve">Winter Park,CO </t>
  </si>
  <si>
    <t xml:space="preserve">Bridgeport,CT  </t>
  </si>
  <si>
    <t xml:space="preserve">Danbury,CT  </t>
  </si>
  <si>
    <t xml:space="preserve">Groton,CT  </t>
  </si>
  <si>
    <t xml:space="preserve">Hartford,CT  </t>
  </si>
  <si>
    <t xml:space="preserve">New Haven,CT </t>
  </si>
  <si>
    <t xml:space="preserve">New London,CT </t>
  </si>
  <si>
    <t xml:space="preserve">Windsor Loc,CT </t>
  </si>
  <si>
    <t xml:space="preserve">Dover,DE  </t>
  </si>
  <si>
    <t xml:space="preserve">Wilmington,DE  </t>
  </si>
  <si>
    <t xml:space="preserve">Washington/Dulles,DC  </t>
  </si>
  <si>
    <t xml:space="preserve">Apalachicola,FL  </t>
  </si>
  <si>
    <t xml:space="preserve">Astor NAS,FL </t>
  </si>
  <si>
    <t>Avon Park G,FL</t>
  </si>
  <si>
    <t xml:space="preserve">Cape Canaveral,FL </t>
  </si>
  <si>
    <t xml:space="preserve">Cecil,FL  </t>
  </si>
  <si>
    <t xml:space="preserve">Crestview,FL  </t>
  </si>
  <si>
    <t xml:space="preserve">Cross City,FL </t>
  </si>
  <si>
    <t xml:space="preserve">Daytona Bch,FL </t>
  </si>
  <si>
    <t xml:space="preserve">Duke Fld,FL </t>
  </si>
  <si>
    <t xml:space="preserve">Eglin AFB,FL </t>
  </si>
  <si>
    <t xml:space="preserve">Egmont Key,FL </t>
  </si>
  <si>
    <t xml:space="preserve">Fort Lauderd,FL </t>
  </si>
  <si>
    <t xml:space="preserve">Fort Myers,FL </t>
  </si>
  <si>
    <t xml:space="preserve">Ft Myers,FL </t>
  </si>
  <si>
    <t xml:space="preserve">Gainesville,FL  </t>
  </si>
  <si>
    <t xml:space="preserve">Homestead,FL  </t>
  </si>
  <si>
    <t xml:space="preserve">Hurlburt Fld,FL </t>
  </si>
  <si>
    <t xml:space="preserve">Jacksonville,FL  </t>
  </si>
  <si>
    <t xml:space="preserve">Key West,FL </t>
  </si>
  <si>
    <t>Key West NAS,FL</t>
  </si>
  <si>
    <t xml:space="preserve">Lakeland,FL  </t>
  </si>
  <si>
    <t xml:space="preserve">Macdill AFB,FL </t>
  </si>
  <si>
    <t xml:space="preserve">Marianna,FL  </t>
  </si>
  <si>
    <t xml:space="preserve">Mayport NAS,FL </t>
  </si>
  <si>
    <t xml:space="preserve">Melbourne,FL  </t>
  </si>
  <si>
    <t xml:space="preserve">Miami Intl,FL </t>
  </si>
  <si>
    <t xml:space="preserve">Miami/Opa,FL  </t>
  </si>
  <si>
    <t xml:space="preserve">Miami/Tamiami,FL  </t>
  </si>
  <si>
    <t xml:space="preserve">Naples,FL  </t>
  </si>
  <si>
    <t xml:space="preserve">Nasa Shuttle,FL </t>
  </si>
  <si>
    <t xml:space="preserve">Orlando,FL  </t>
  </si>
  <si>
    <t xml:space="preserve">Panama City,FL </t>
  </si>
  <si>
    <t xml:space="preserve">Patrick AFB,FL </t>
  </si>
  <si>
    <t xml:space="preserve">Pensacola,FL  </t>
  </si>
  <si>
    <t xml:space="preserve">Ruskin,FL  </t>
  </si>
  <si>
    <t xml:space="preserve">Saint Peters,FL </t>
  </si>
  <si>
    <t xml:space="preserve">Sanford,FL  </t>
  </si>
  <si>
    <t xml:space="preserve">Sarasota,FL  </t>
  </si>
  <si>
    <t xml:space="preserve">Tallahassee,FL  </t>
  </si>
  <si>
    <t xml:space="preserve">Tampa Intl,FL </t>
  </si>
  <si>
    <t xml:space="preserve">Titusville,FL  </t>
  </si>
  <si>
    <t xml:space="preserve">Tyndall AFB,FL </t>
  </si>
  <si>
    <t xml:space="preserve">Vero Beach,FL </t>
  </si>
  <si>
    <t>W Palm Beach,FL</t>
  </si>
  <si>
    <t xml:space="preserve">Whiting Fld,FL </t>
  </si>
  <si>
    <t xml:space="preserve">Albany,GA  </t>
  </si>
  <si>
    <t xml:space="preserve">Alma,GA  </t>
  </si>
  <si>
    <t xml:space="preserve">Athens,GA  </t>
  </si>
  <si>
    <t xml:space="preserve">Atlanta,GA  </t>
  </si>
  <si>
    <t xml:space="preserve">Atlanta/Dklb,GA  </t>
  </si>
  <si>
    <t xml:space="preserve">Atlanta/Fltn,GA  </t>
  </si>
  <si>
    <t xml:space="preserve">Augusta/Bush,GA  </t>
  </si>
  <si>
    <t xml:space="preserve">Brunswick,GA  </t>
  </si>
  <si>
    <t xml:space="preserve">Columbus,GA  </t>
  </si>
  <si>
    <t xml:space="preserve">Dobbins AFB,GA </t>
  </si>
  <si>
    <t xml:space="preserve">Fort Benning,GA </t>
  </si>
  <si>
    <t xml:space="preserve">Ft Stewart,GA </t>
  </si>
  <si>
    <t xml:space="preserve">Hunter Aaf,GA </t>
  </si>
  <si>
    <t xml:space="preserve">La Grange,GA </t>
  </si>
  <si>
    <t xml:space="preserve">Macon/Lewis,GA  </t>
  </si>
  <si>
    <t xml:space="preserve">Moody AFB,GA </t>
  </si>
  <si>
    <t xml:space="preserve">Robins AFB,GA </t>
  </si>
  <si>
    <t xml:space="preserve">Rome/Russell,GA  </t>
  </si>
  <si>
    <t xml:space="preserve">Savannah Mun,GA </t>
  </si>
  <si>
    <t xml:space="preserve">Valdosta,GA  </t>
  </si>
  <si>
    <t xml:space="preserve">Waycross,GA  </t>
  </si>
  <si>
    <t xml:space="preserve">Barbers Pt,HI </t>
  </si>
  <si>
    <t xml:space="preserve">Barking San,HI </t>
  </si>
  <si>
    <t xml:space="preserve">Fr Frigate,HI </t>
  </si>
  <si>
    <t xml:space="preserve">Hilo,HI  </t>
  </si>
  <si>
    <t xml:space="preserve">Honolulu Int,HI </t>
  </si>
  <si>
    <t xml:space="preserve">Kahului Maui,HI </t>
  </si>
  <si>
    <t xml:space="preserve">Kaneohe Mca,HI </t>
  </si>
  <si>
    <t xml:space="preserve">Ke-Ahole/Kon,HI  </t>
  </si>
  <si>
    <t xml:space="preserve">Kilauea Pt,HI </t>
  </si>
  <si>
    <t xml:space="preserve">Lanai-Lanai,HI  </t>
  </si>
  <si>
    <t xml:space="preserve">Lihue-Kauai,HI  </t>
  </si>
  <si>
    <t xml:space="preserve">Maui,HI  </t>
  </si>
  <si>
    <t xml:space="preserve">Molokai,HI  </t>
  </si>
  <si>
    <t>Upolo Pt Ln,HI</t>
  </si>
  <si>
    <t xml:space="preserve">Waimea-Koha,HI  </t>
  </si>
  <si>
    <t xml:space="preserve">Boise,ID  </t>
  </si>
  <si>
    <t xml:space="preserve">Burley,ID  </t>
  </si>
  <si>
    <t xml:space="preserve">Challis,ID  </t>
  </si>
  <si>
    <t xml:space="preserve">Coeur d'Alene,ID </t>
  </si>
  <si>
    <t xml:space="preserve">Elk City,ID </t>
  </si>
  <si>
    <t xml:space="preserve">Gooding,ID  </t>
  </si>
  <si>
    <t xml:space="preserve">Grangeville,ID  </t>
  </si>
  <si>
    <t xml:space="preserve">Idaho Falls,ID </t>
  </si>
  <si>
    <t xml:space="preserve">Lewiston,ID  </t>
  </si>
  <si>
    <t xml:space="preserve">Malad City,ID </t>
  </si>
  <si>
    <t xml:space="preserve">Malta,ID  </t>
  </si>
  <si>
    <t xml:space="preserve">Mccall,ID  </t>
  </si>
  <si>
    <t xml:space="preserve">Mountn Home,ID </t>
  </si>
  <si>
    <t xml:space="preserve">Mullan,ID  </t>
  </si>
  <si>
    <t xml:space="preserve">Pocatello,ID  </t>
  </si>
  <si>
    <t xml:space="preserve">Salmon,ID  </t>
  </si>
  <si>
    <t xml:space="preserve">Soda Springs,ID </t>
  </si>
  <si>
    <t xml:space="preserve">Sun Valley,ID </t>
  </si>
  <si>
    <t xml:space="preserve">Twin Falls,ID </t>
  </si>
  <si>
    <t xml:space="preserve">Alton,IL  </t>
  </si>
  <si>
    <t xml:space="preserve">Aurora,IL  </t>
  </si>
  <si>
    <t xml:space="preserve">Bistate Park,IL </t>
  </si>
  <si>
    <t xml:space="preserve">Bloomington,IL  </t>
  </si>
  <si>
    <t xml:space="preserve">Bradford,IL  </t>
  </si>
  <si>
    <t xml:space="preserve">Cairo,IL  </t>
  </si>
  <si>
    <t xml:space="preserve">Carbondale,IL  </t>
  </si>
  <si>
    <t xml:space="preserve">Centralia,IL  </t>
  </si>
  <si>
    <t xml:space="preserve">Champaign/Urbana,IL  </t>
  </si>
  <si>
    <t xml:space="preserve">Chicago,IL  </t>
  </si>
  <si>
    <t xml:space="preserve">Chicago/Meigs,IL  </t>
  </si>
  <si>
    <t xml:space="preserve">Chicago/Midway,IL  </t>
  </si>
  <si>
    <t xml:space="preserve">Chicago/O'hare,IL  </t>
  </si>
  <si>
    <t xml:space="preserve">Danville,IL  </t>
  </si>
  <si>
    <t xml:space="preserve">DeKalb,IL  </t>
  </si>
  <si>
    <t xml:space="preserve">Decatur,IL  </t>
  </si>
  <si>
    <t xml:space="preserve">Du Page,IL </t>
  </si>
  <si>
    <t xml:space="preserve">Galesburg,IL  </t>
  </si>
  <si>
    <t xml:space="preserve">Glenview NAS,IL </t>
  </si>
  <si>
    <t xml:space="preserve">Kankakee,IL  </t>
  </si>
  <si>
    <t xml:space="preserve">Macomb,IL  </t>
  </si>
  <si>
    <t xml:space="preserve">Marion,IL  </t>
  </si>
  <si>
    <t xml:space="preserve">Marseilles,IL  </t>
  </si>
  <si>
    <t xml:space="preserve">Mattoon,IL  </t>
  </si>
  <si>
    <t xml:space="preserve">Moline/Quad,IL  </t>
  </si>
  <si>
    <t xml:space="preserve">Mount Vernon,IL </t>
  </si>
  <si>
    <t xml:space="preserve">Peoria,IL  </t>
  </si>
  <si>
    <t xml:space="preserve">Quincy,IL  </t>
  </si>
  <si>
    <t xml:space="preserve">Rockford,IL  </t>
  </si>
  <si>
    <t xml:space="preserve">Salem,IL  </t>
  </si>
  <si>
    <t xml:space="preserve">Scott AFB,IL </t>
  </si>
  <si>
    <t xml:space="preserve">Springfield,IL  </t>
  </si>
  <si>
    <t xml:space="preserve">Sterling,IL  </t>
  </si>
  <si>
    <t xml:space="preserve">Taylorville,IL  </t>
  </si>
  <si>
    <t xml:space="preserve">Vandalia,IL  </t>
  </si>
  <si>
    <t xml:space="preserve">Bakalar Af,IN </t>
  </si>
  <si>
    <t xml:space="preserve">Bloomington,IN  </t>
  </si>
  <si>
    <t xml:space="preserve">Elkhart,IN  </t>
  </si>
  <si>
    <t xml:space="preserve">Evansville,IN  </t>
  </si>
  <si>
    <t xml:space="preserve">Fort Wayne,IN </t>
  </si>
  <si>
    <t xml:space="preserve">Gary,IN  </t>
  </si>
  <si>
    <t xml:space="preserve">Grissom AFB,IN </t>
  </si>
  <si>
    <t xml:space="preserve">Indianapolis,IN  </t>
  </si>
  <si>
    <t xml:space="preserve">Muncie,IN  </t>
  </si>
  <si>
    <t xml:space="preserve">South Bend,IN </t>
  </si>
  <si>
    <t xml:space="preserve">Terre Haute,IN </t>
  </si>
  <si>
    <t xml:space="preserve">W Lafayette,IN </t>
  </si>
  <si>
    <t xml:space="preserve">Burlington,IA  </t>
  </si>
  <si>
    <t xml:space="preserve">Cedar Rapids,IA </t>
  </si>
  <si>
    <t xml:space="preserve">Dubuque,IA  </t>
  </si>
  <si>
    <t xml:space="preserve">Estherville,IA  </t>
  </si>
  <si>
    <t xml:space="preserve">Fort Dodge,IA </t>
  </si>
  <si>
    <t xml:space="preserve">Lamoni,IA  </t>
  </si>
  <si>
    <t xml:space="preserve">Mason City,IA </t>
  </si>
  <si>
    <t xml:space="preserve">Ottumwa,IA  </t>
  </si>
  <si>
    <t xml:space="preserve">Sioux City,IA </t>
  </si>
  <si>
    <t xml:space="preserve">Spencer,IA  </t>
  </si>
  <si>
    <t xml:space="preserve">Waterloo Mun,IA </t>
  </si>
  <si>
    <t xml:space="preserve">Chanute,KS  </t>
  </si>
  <si>
    <t>Col. J Jabar,KS</t>
  </si>
  <si>
    <t xml:space="preserve">Concordia,KS  </t>
  </si>
  <si>
    <t xml:space="preserve">Dodge City,KS </t>
  </si>
  <si>
    <t xml:space="preserve">Elkhart,KS  </t>
  </si>
  <si>
    <t xml:space="preserve">Emporia,KS  </t>
  </si>
  <si>
    <t xml:space="preserve">Ft Leavnwrth,KS </t>
  </si>
  <si>
    <t xml:space="preserve">Ft Riley,KS </t>
  </si>
  <si>
    <t xml:space="preserve">Garden City,KS </t>
  </si>
  <si>
    <t xml:space="preserve">Goodland,KS  </t>
  </si>
  <si>
    <t xml:space="preserve">Hays,KS  </t>
  </si>
  <si>
    <t xml:space="preserve">Hill City,KS </t>
  </si>
  <si>
    <t xml:space="preserve">Hutchinson,KS  </t>
  </si>
  <si>
    <t xml:space="preserve">Johnson Cnty,KS </t>
  </si>
  <si>
    <t xml:space="preserve">Liberal,KS  </t>
  </si>
  <si>
    <t xml:space="preserve">Manhatten,KS  </t>
  </si>
  <si>
    <t xml:space="preserve">Mcconnell Af,KS </t>
  </si>
  <si>
    <t xml:space="preserve">Medicine Ldg,KS </t>
  </si>
  <si>
    <t xml:space="preserve">Olathe,KS  </t>
  </si>
  <si>
    <t xml:space="preserve">Russell,KS  </t>
  </si>
  <si>
    <t xml:space="preserve">Salina,KS  </t>
  </si>
  <si>
    <t xml:space="preserve">Topeka,KS  </t>
  </si>
  <si>
    <t xml:space="preserve">Topeka/Forbe,KS  </t>
  </si>
  <si>
    <t xml:space="preserve">Wichita,KS  </t>
  </si>
  <si>
    <t xml:space="preserve">Bowling Gren,KY </t>
  </si>
  <si>
    <t xml:space="preserve">Ft Campbell,KY </t>
  </si>
  <si>
    <t xml:space="preserve">Ft Knox,KY </t>
  </si>
  <si>
    <t xml:space="preserve">Jackson,KY  </t>
  </si>
  <si>
    <t xml:space="preserve">Lexington,KY  </t>
  </si>
  <si>
    <t xml:space="preserve">London,KY  </t>
  </si>
  <si>
    <t xml:space="preserve">Louisville,KY  </t>
  </si>
  <si>
    <t xml:space="preserve">Owensboro,KY  </t>
  </si>
  <si>
    <t xml:space="preserve">Paducah,KY  </t>
  </si>
  <si>
    <t xml:space="preserve">Pikeville,KY  </t>
  </si>
  <si>
    <t xml:space="preserve">Alexandria,LA  </t>
  </si>
  <si>
    <t xml:space="preserve">Barksdale,LA  </t>
  </si>
  <si>
    <t xml:space="preserve">Boothville,LA  </t>
  </si>
  <si>
    <t xml:space="preserve">Cameron Heli,LA </t>
  </si>
  <si>
    <t xml:space="preserve">Claiborne R,LA </t>
  </si>
  <si>
    <t xml:space="preserve">England AFB,LA </t>
  </si>
  <si>
    <t xml:space="preserve">Eugene Is.,LA </t>
  </si>
  <si>
    <t xml:space="preserve">Fort Polk,LA </t>
  </si>
  <si>
    <t xml:space="preserve">Grand Isle,LA </t>
  </si>
  <si>
    <t xml:space="preserve">High Is,LA </t>
  </si>
  <si>
    <t xml:space="preserve">High Island,LA </t>
  </si>
  <si>
    <t xml:space="preserve">Houma,LA  </t>
  </si>
  <si>
    <t xml:space="preserve">Intercoastal,LA  </t>
  </si>
  <si>
    <t xml:space="preserve">Lafayette,LA  </t>
  </si>
  <si>
    <t xml:space="preserve">Lake Charles,LA </t>
  </si>
  <si>
    <t xml:space="preserve">Lk Palourde,LA </t>
  </si>
  <si>
    <t xml:space="preserve">Missippi Can,LA </t>
  </si>
  <si>
    <t xml:space="preserve">Monroe,LA  </t>
  </si>
  <si>
    <t xml:space="preserve">Morgan City,LA </t>
  </si>
  <si>
    <t xml:space="preserve">New Iberia,LA </t>
  </si>
  <si>
    <t xml:space="preserve">New Orleans,LA </t>
  </si>
  <si>
    <t>S Marsh Isl,LA</t>
  </si>
  <si>
    <t xml:space="preserve">Shreveport,LA  </t>
  </si>
  <si>
    <t xml:space="preserve">Slidel,LA  </t>
  </si>
  <si>
    <t xml:space="preserve">Augusta,ME  </t>
  </si>
  <si>
    <t xml:space="preserve">Bangor,ME  </t>
  </si>
  <si>
    <t xml:space="preserve">Bar Harbor,ME </t>
  </si>
  <si>
    <t xml:space="preserve">Brunswick,ME  </t>
  </si>
  <si>
    <t xml:space="preserve">Caribou Mun,ME </t>
  </si>
  <si>
    <t xml:space="preserve">Greenville,ME  </t>
  </si>
  <si>
    <t xml:space="preserve">Houlton,ME  </t>
  </si>
  <si>
    <t xml:space="preserve">Loring AFB,ME </t>
  </si>
  <si>
    <t xml:space="preserve">Portland,ME  </t>
  </si>
  <si>
    <t xml:space="preserve">Presque Isle,ME </t>
  </si>
  <si>
    <t xml:space="preserve">Rockland,ME  </t>
  </si>
  <si>
    <t xml:space="preserve">Rumford,ME  </t>
  </si>
  <si>
    <t xml:space="preserve">Andrews AFB,MD </t>
  </si>
  <si>
    <t xml:space="preserve">Baltimore,MD  </t>
  </si>
  <si>
    <t xml:space="preserve">Fort Meade,MD </t>
  </si>
  <si>
    <t xml:space="preserve">Hagerstown,MD  </t>
  </si>
  <si>
    <t xml:space="preserve">Ocean City,MD </t>
  </si>
  <si>
    <t xml:space="preserve">Patuxent,MD  </t>
  </si>
  <si>
    <t xml:space="preserve">Phillips,MD  </t>
  </si>
  <si>
    <t xml:space="preserve">Salisbury,MD  </t>
  </si>
  <si>
    <t xml:space="preserve">Bedford,MA  </t>
  </si>
  <si>
    <t xml:space="preserve">Beverly,MA  </t>
  </si>
  <si>
    <t xml:space="preserve">Boston,MA  </t>
  </si>
  <si>
    <t>Cape Cod Can,MA</t>
  </si>
  <si>
    <t xml:space="preserve">Chatham,MA  </t>
  </si>
  <si>
    <t xml:space="preserve">Fort Devens,MA </t>
  </si>
  <si>
    <t xml:space="preserve">Hyannis,MA  </t>
  </si>
  <si>
    <t xml:space="preserve">Lawrence,MA  </t>
  </si>
  <si>
    <t xml:space="preserve">Marthas Vine,MA </t>
  </si>
  <si>
    <t xml:space="preserve">Nantucket,MA  </t>
  </si>
  <si>
    <t xml:space="preserve">New Bedford,MA </t>
  </si>
  <si>
    <t xml:space="preserve">Norwood,MA  </t>
  </si>
  <si>
    <t xml:space="preserve">Otis ANGB,MA </t>
  </si>
  <si>
    <t xml:space="preserve">Pittsfield,MA  </t>
  </si>
  <si>
    <t xml:space="preserve">S Weymouth,MA </t>
  </si>
  <si>
    <t xml:space="preserve">Westfield,MA  </t>
  </si>
  <si>
    <t xml:space="preserve">Westover,MA  </t>
  </si>
  <si>
    <t xml:space="preserve">Worcester,MA  </t>
  </si>
  <si>
    <t xml:space="preserve">Alpena,MI  </t>
  </si>
  <si>
    <t xml:space="preserve">Battle Creek,MI </t>
  </si>
  <si>
    <t xml:space="preserve">Benton Harbor,MI </t>
  </si>
  <si>
    <t xml:space="preserve">Chippewa,MI  </t>
  </si>
  <si>
    <t xml:space="preserve">Coopersville,MI  </t>
  </si>
  <si>
    <t xml:space="preserve">Copper Harb,MI </t>
  </si>
  <si>
    <t xml:space="preserve">Detroit,MI  </t>
  </si>
  <si>
    <t xml:space="preserve">Escanaba,MI  </t>
  </si>
  <si>
    <t xml:space="preserve">Flint/Bishop,MI  </t>
  </si>
  <si>
    <t xml:space="preserve">Grand Rapids,MI </t>
  </si>
  <si>
    <t xml:space="preserve">Hancock,MI  </t>
  </si>
  <si>
    <t xml:space="preserve">Harbor Beach,MI </t>
  </si>
  <si>
    <t xml:space="preserve">Houghton Lake,MI </t>
  </si>
  <si>
    <t xml:space="preserve">Iron Mtn,MI </t>
  </si>
  <si>
    <t xml:space="preserve">Ironwood,MI  </t>
  </si>
  <si>
    <t xml:space="preserve">Jackson,MI  </t>
  </si>
  <si>
    <t xml:space="preserve">Kalamazoo,MI  </t>
  </si>
  <si>
    <t xml:space="preserve">Lansing,MI  </t>
  </si>
  <si>
    <t xml:space="preserve">Manistee,MI  </t>
  </si>
  <si>
    <t xml:space="preserve">Marquette,MI  </t>
  </si>
  <si>
    <t xml:space="preserve">Menominee,MI  </t>
  </si>
  <si>
    <t xml:space="preserve">Muskegon,MI  </t>
  </si>
  <si>
    <t xml:space="preserve">Pellston,MI  </t>
  </si>
  <si>
    <t xml:space="preserve">Pontiac,MI  </t>
  </si>
  <si>
    <t xml:space="preserve">Saginaw,MI  </t>
  </si>
  <si>
    <t>Sault Ste M,MI</t>
  </si>
  <si>
    <t xml:space="preserve">Sawyer AFB,MI </t>
  </si>
  <si>
    <t xml:space="preserve">Selfridge,MI  </t>
  </si>
  <si>
    <t xml:space="preserve">Seul Choix,MI </t>
  </si>
  <si>
    <t xml:space="preserve">Traverse Cty,MI </t>
  </si>
  <si>
    <t xml:space="preserve">Wurtsmith,MI  </t>
  </si>
  <si>
    <t xml:space="preserve">Ypsilanti,MI  </t>
  </si>
  <si>
    <t xml:space="preserve">Albert Lea,MN </t>
  </si>
  <si>
    <t xml:space="preserve">Alexandria,MN  </t>
  </si>
  <si>
    <t xml:space="preserve">Bemidji Muni,MN </t>
  </si>
  <si>
    <t xml:space="preserve">Brainerd-Crw,MN  </t>
  </si>
  <si>
    <t xml:space="preserve">Detroit Laks,MN </t>
  </si>
  <si>
    <t xml:space="preserve">Duluth,MN  </t>
  </si>
  <si>
    <t xml:space="preserve">Ely,MN  </t>
  </si>
  <si>
    <t xml:space="preserve">Fairmont,MN  </t>
  </si>
  <si>
    <t xml:space="preserve">Fergus Falls,MN </t>
  </si>
  <si>
    <t xml:space="preserve">Grand Rapids,MN </t>
  </si>
  <si>
    <t xml:space="preserve">Hibbing,MN  </t>
  </si>
  <si>
    <t xml:space="preserve">Intl Falls,MN </t>
  </si>
  <si>
    <t xml:space="preserve">Litchfield,MN  </t>
  </si>
  <si>
    <t xml:space="preserve">Mankato,MN  </t>
  </si>
  <si>
    <t xml:space="preserve">Marshall Arpt,MN </t>
  </si>
  <si>
    <t xml:space="preserve">Minneapolis,MN  </t>
  </si>
  <si>
    <t xml:space="preserve">Park Rapids,MN </t>
  </si>
  <si>
    <t xml:space="preserve">Pequot Lake,MN </t>
  </si>
  <si>
    <t xml:space="preserve">Redwood Falls,MN </t>
  </si>
  <si>
    <t xml:space="preserve">Rochester,MN  </t>
  </si>
  <si>
    <t xml:space="preserve">Saint Paul,MN </t>
  </si>
  <si>
    <t xml:space="preserve">St Cloud,MN </t>
  </si>
  <si>
    <t xml:space="preserve">Thief River,MN </t>
  </si>
  <si>
    <t xml:space="preserve">Tofte,MN  </t>
  </si>
  <si>
    <t xml:space="preserve">Warroad,MN  </t>
  </si>
  <si>
    <t xml:space="preserve">Worthington,MN  </t>
  </si>
  <si>
    <t xml:space="preserve">Columbus AFB,MS </t>
  </si>
  <si>
    <t xml:space="preserve">Golden Trian,MS </t>
  </si>
  <si>
    <t xml:space="preserve">Greenville,MS  </t>
  </si>
  <si>
    <t xml:space="preserve">Greenwood,MS  </t>
  </si>
  <si>
    <t xml:space="preserve">Gulfport,MS  </t>
  </si>
  <si>
    <t xml:space="preserve">Hattiesburg,MS  </t>
  </si>
  <si>
    <t xml:space="preserve">Jackson,MS  </t>
  </si>
  <si>
    <t xml:space="preserve">Keesler AFB,MS </t>
  </si>
  <si>
    <t xml:space="preserve">Laurel,MS  </t>
  </si>
  <si>
    <t xml:space="preserve">Mccomb,MS  </t>
  </si>
  <si>
    <t xml:space="preserve">Meridian NAS,MS </t>
  </si>
  <si>
    <t xml:space="preserve">Meridian/Key,MS  </t>
  </si>
  <si>
    <t xml:space="preserve">Natchez,MS  </t>
  </si>
  <si>
    <t xml:space="preserve">Oxford,MS  </t>
  </si>
  <si>
    <t xml:space="preserve">Tupelo,MS  </t>
  </si>
  <si>
    <t xml:space="preserve">Columbia,MO  </t>
  </si>
  <si>
    <t xml:space="preserve">Cp Girardeau,MO </t>
  </si>
  <si>
    <t xml:space="preserve">Ft Leonard,MO </t>
  </si>
  <si>
    <t xml:space="preserve">Jefferson City,MO </t>
  </si>
  <si>
    <t xml:space="preserve">Joplin,MO  </t>
  </si>
  <si>
    <t xml:space="preserve">Kansas City,MO </t>
  </si>
  <si>
    <t xml:space="preserve">Kirksville,MO  </t>
  </si>
  <si>
    <t xml:space="preserve">Monett,MO  </t>
  </si>
  <si>
    <t xml:space="preserve">Muskogee,MO  </t>
  </si>
  <si>
    <t xml:space="preserve">Poplar Bluff,MO </t>
  </si>
  <si>
    <t xml:space="preserve">Richards-Geb,MO  </t>
  </si>
  <si>
    <t xml:space="preserve">Spickard,MO  </t>
  </si>
  <si>
    <t xml:space="preserve">Springfield,MO  </t>
  </si>
  <si>
    <t xml:space="preserve">St Joseph,MO </t>
  </si>
  <si>
    <t xml:space="preserve">StLouis/Spirit,MO  </t>
  </si>
  <si>
    <t xml:space="preserve">Vichy/Rolla,MO  </t>
  </si>
  <si>
    <t xml:space="preserve">West Plains,MO </t>
  </si>
  <si>
    <t xml:space="preserve">Whiteman AFB,MO </t>
  </si>
  <si>
    <t xml:space="preserve">Billings,MT  </t>
  </si>
  <si>
    <t xml:space="preserve">Bozeman,MT  </t>
  </si>
  <si>
    <t xml:space="preserve">Broadus,MT  </t>
  </si>
  <si>
    <t xml:space="preserve">Butte,MT  </t>
  </si>
  <si>
    <t xml:space="preserve">Cut Bank,MT </t>
  </si>
  <si>
    <t xml:space="preserve">Dillon,MT  </t>
  </si>
  <si>
    <t xml:space="preserve">Drummond,MT  </t>
  </si>
  <si>
    <t xml:space="preserve">Glasgow,MT  </t>
  </si>
  <si>
    <t xml:space="preserve">Glendive,MT  </t>
  </si>
  <si>
    <t xml:space="preserve">Great Falls,MT </t>
  </si>
  <si>
    <t xml:space="preserve">Harlowton,MT  </t>
  </si>
  <si>
    <t xml:space="preserve">Havre,MT  </t>
  </si>
  <si>
    <t xml:space="preserve">Helena,MT  </t>
  </si>
  <si>
    <t xml:space="preserve">Jordan,MT  </t>
  </si>
  <si>
    <t xml:space="preserve">Kalispell,MT  </t>
  </si>
  <si>
    <t xml:space="preserve">Lewiston,MT  </t>
  </si>
  <si>
    <t xml:space="preserve">Livingston,MT  </t>
  </si>
  <si>
    <t xml:space="preserve">Malmstrom,MT  </t>
  </si>
  <si>
    <t xml:space="preserve">Miles City,MT </t>
  </si>
  <si>
    <t xml:space="preserve">Missoula,MT  </t>
  </si>
  <si>
    <t xml:space="preserve">Monida,MT  </t>
  </si>
  <si>
    <t xml:space="preserve">Sidney,MT  </t>
  </si>
  <si>
    <t xml:space="preserve">Thompson Fal,MT </t>
  </si>
  <si>
    <t xml:space="preserve">W Yellowston,MT </t>
  </si>
  <si>
    <t xml:space="preserve">Wolf Point,MT </t>
  </si>
  <si>
    <t xml:space="preserve">Ainsworth,NE  </t>
  </si>
  <si>
    <t xml:space="preserve">Alliance,NE  </t>
  </si>
  <si>
    <t xml:space="preserve">Beatrice,NE  </t>
  </si>
  <si>
    <t xml:space="preserve">Broken Bow,NE </t>
  </si>
  <si>
    <t xml:space="preserve">Burwell,NE  </t>
  </si>
  <si>
    <t xml:space="preserve">Chadron,NE  </t>
  </si>
  <si>
    <t xml:space="preserve">Columbus,NE  </t>
  </si>
  <si>
    <t xml:space="preserve">Cozad,NE  </t>
  </si>
  <si>
    <t xml:space="preserve">Falls City,NE </t>
  </si>
  <si>
    <t xml:space="preserve">Grand Island,NE </t>
  </si>
  <si>
    <t xml:space="preserve">Hastings,NE  </t>
  </si>
  <si>
    <t xml:space="preserve">Imperial,NE  </t>
  </si>
  <si>
    <t xml:space="preserve">Kearney,NE  </t>
  </si>
  <si>
    <t xml:space="preserve">Lincoln Muni,NE </t>
  </si>
  <si>
    <t xml:space="preserve">Mccook,NE  </t>
  </si>
  <si>
    <t xml:space="preserve">Mullen,NE  </t>
  </si>
  <si>
    <t xml:space="preserve">Norfolk,NE  </t>
  </si>
  <si>
    <t xml:space="preserve">North Omaha,NE </t>
  </si>
  <si>
    <t xml:space="preserve">North Platte,NE </t>
  </si>
  <si>
    <t xml:space="preserve">O'neill,NE  </t>
  </si>
  <si>
    <t xml:space="preserve">Offutt AFB,NE </t>
  </si>
  <si>
    <t xml:space="preserve">Omaha/Eppley,NE  </t>
  </si>
  <si>
    <t xml:space="preserve">Ord/Sharp,NE  </t>
  </si>
  <si>
    <t xml:space="preserve">Scottsbluff,NE  </t>
  </si>
  <si>
    <t xml:space="preserve">Sidney Muni,NE </t>
  </si>
  <si>
    <t xml:space="preserve">Valentine,NE  </t>
  </si>
  <si>
    <t xml:space="preserve">Austin,NV  </t>
  </si>
  <si>
    <t xml:space="preserve">Battle Mtn,NV </t>
  </si>
  <si>
    <t xml:space="preserve">Caliente,NV  </t>
  </si>
  <si>
    <t xml:space="preserve">Elko,NV  </t>
  </si>
  <si>
    <t xml:space="preserve">Ely/Yelland,NV  </t>
  </si>
  <si>
    <t xml:space="preserve">Eureka,NV  </t>
  </si>
  <si>
    <t xml:space="preserve">Fallon NAS,NV </t>
  </si>
  <si>
    <t xml:space="preserve">Hawthorne,NV  </t>
  </si>
  <si>
    <t>Ind Sprng Rn,NV</t>
  </si>
  <si>
    <t xml:space="preserve">Lovelock,NV  </t>
  </si>
  <si>
    <t xml:space="preserve">Mercury,NV  </t>
  </si>
  <si>
    <t xml:space="preserve">Nellis AFB,NV </t>
  </si>
  <si>
    <t xml:space="preserve">Owyhee,NV  </t>
  </si>
  <si>
    <t xml:space="preserve">Reno,NV  </t>
  </si>
  <si>
    <t xml:space="preserve">Tonopah,NV  </t>
  </si>
  <si>
    <t xml:space="preserve">Wildhorse,NV  </t>
  </si>
  <si>
    <t xml:space="preserve">Winnemucca,NV  </t>
  </si>
  <si>
    <t xml:space="preserve">Yucca Flat,NV </t>
  </si>
  <si>
    <t xml:space="preserve">Berlin,NH  </t>
  </si>
  <si>
    <t xml:space="preserve">Concord,NH  </t>
  </si>
  <si>
    <t xml:space="preserve">Jaffrey,NH  </t>
  </si>
  <si>
    <t xml:space="preserve">Keene,NH  </t>
  </si>
  <si>
    <t xml:space="preserve">Laconia,NH  </t>
  </si>
  <si>
    <t xml:space="preserve">Lebanon,NH  </t>
  </si>
  <si>
    <t xml:space="preserve">Manchester,NH  </t>
  </si>
  <si>
    <t xml:space="preserve">Mt Washingtn,NH </t>
  </si>
  <si>
    <t xml:space="preserve">Nashua,NH  </t>
  </si>
  <si>
    <t xml:space="preserve">Pease AFB,NH </t>
  </si>
  <si>
    <t xml:space="preserve">Wolfeboro,NH  </t>
  </si>
  <si>
    <t xml:space="preserve">Atlantic Cty,NJ </t>
  </si>
  <si>
    <t xml:space="preserve">Barnegat Ls,NJ </t>
  </si>
  <si>
    <t xml:space="preserve">Fairfield,NJ  </t>
  </si>
  <si>
    <t xml:space="preserve">Lakehurst,NJ  </t>
  </si>
  <si>
    <t xml:space="preserve">Mcguire AFB,NJ </t>
  </si>
  <si>
    <t xml:space="preserve">Millville,NJ  </t>
  </si>
  <si>
    <t xml:space="preserve">Morristown,NJ  </t>
  </si>
  <si>
    <t xml:space="preserve">Newark Intl,NJ </t>
  </si>
  <si>
    <t xml:space="preserve">Teterboro,NJ  </t>
  </si>
  <si>
    <t xml:space="preserve">Trenton,NJ  </t>
  </si>
  <si>
    <t xml:space="preserve">Albuquerque,NM  </t>
  </si>
  <si>
    <t xml:space="preserve">Cannon,NM  </t>
  </si>
  <si>
    <t xml:space="preserve">Carlsbad,NM  </t>
  </si>
  <si>
    <t xml:space="preserve">Clayton Arpt,NM </t>
  </si>
  <si>
    <t xml:space="preserve">Corona,NM  </t>
  </si>
  <si>
    <t xml:space="preserve">Cuba Awrs,NM </t>
  </si>
  <si>
    <t xml:space="preserve">Deming,NM  </t>
  </si>
  <si>
    <t xml:space="preserve">Farmington,NM  </t>
  </si>
  <si>
    <t xml:space="preserve">Gallup/Clark,NM  </t>
  </si>
  <si>
    <t xml:space="preserve">Grants,NM  </t>
  </si>
  <si>
    <t xml:space="preserve">Hobbs,NM  </t>
  </si>
  <si>
    <t xml:space="preserve">Holloman AFB,NM </t>
  </si>
  <si>
    <t xml:space="preserve">Las Cruces,NM </t>
  </si>
  <si>
    <t xml:space="preserve">Las Vegas,NM </t>
  </si>
  <si>
    <t xml:space="preserve">Los Alamos,NM </t>
  </si>
  <si>
    <t xml:space="preserve">Moriarity,NM  </t>
  </si>
  <si>
    <t xml:space="preserve">Northrup Str,NM </t>
  </si>
  <si>
    <t xml:space="preserve">Raton,NM  </t>
  </si>
  <si>
    <t xml:space="preserve">Roswell,NM  </t>
  </si>
  <si>
    <t xml:space="preserve">Santa Fe,NM </t>
  </si>
  <si>
    <t xml:space="preserve">Silver City,NM </t>
  </si>
  <si>
    <t xml:space="preserve">Socorro,NM  </t>
  </si>
  <si>
    <t xml:space="preserve">Taos,NM  </t>
  </si>
  <si>
    <t>Truth Or Con,NM</t>
  </si>
  <si>
    <t xml:space="preserve">Tucumcari,NM  </t>
  </si>
  <si>
    <t xml:space="preserve">White Sands,NM </t>
  </si>
  <si>
    <t xml:space="preserve">Albany,NY  </t>
  </si>
  <si>
    <t xml:space="preserve">Ambrose,NY  </t>
  </si>
  <si>
    <t xml:space="preserve">Binghamton,NY  </t>
  </si>
  <si>
    <t xml:space="preserve">Buffalo,NY  </t>
  </si>
  <si>
    <t xml:space="preserve">Dansville,NY  </t>
  </si>
  <si>
    <t xml:space="preserve">Elmira,NY  </t>
  </si>
  <si>
    <t xml:space="preserve">Farmingdale,NY  </t>
  </si>
  <si>
    <t xml:space="preserve">Fort Drum,NY </t>
  </si>
  <si>
    <t xml:space="preserve">Glens Falls,NY </t>
  </si>
  <si>
    <t xml:space="preserve">Griffiss AFB,NY </t>
  </si>
  <si>
    <t xml:space="preserve">Islip,NY  </t>
  </si>
  <si>
    <t xml:space="preserve">Ithaca,NY  </t>
  </si>
  <si>
    <t xml:space="preserve">Jamestown,NY  </t>
  </si>
  <si>
    <t xml:space="preserve">Massena,NY  </t>
  </si>
  <si>
    <t xml:space="preserve">Monticello,NY  </t>
  </si>
  <si>
    <t xml:space="preserve">New York,NY </t>
  </si>
  <si>
    <t xml:space="preserve">New York/JFK,NY </t>
  </si>
  <si>
    <t xml:space="preserve">New York/LGA,NY </t>
  </si>
  <si>
    <t xml:space="preserve">Newburgh,NY  </t>
  </si>
  <si>
    <t xml:space="preserve">Niagara Fall,NY </t>
  </si>
  <si>
    <t xml:space="preserve">Ogdensburg,NY  </t>
  </si>
  <si>
    <t xml:space="preserve">Oneonta,NY  </t>
  </si>
  <si>
    <t xml:space="preserve">Plattsburgh,NY  </t>
  </si>
  <si>
    <t xml:space="preserve">Poughkeepsie,NY  </t>
  </si>
  <si>
    <t xml:space="preserve">Rochester,NY  </t>
  </si>
  <si>
    <t xml:space="preserve">Saranac Lk,NY </t>
  </si>
  <si>
    <t xml:space="preserve">Schenectady,NY  </t>
  </si>
  <si>
    <t xml:space="preserve">Syracuse,NY  </t>
  </si>
  <si>
    <t xml:space="preserve">Utica,NY  </t>
  </si>
  <si>
    <t xml:space="preserve">Watertown,NY  </t>
  </si>
  <si>
    <t xml:space="preserve">Westhampton,NY  </t>
  </si>
  <si>
    <t xml:space="preserve">White Plains,NY </t>
  </si>
  <si>
    <t xml:space="preserve">Asheville,NC  </t>
  </si>
  <si>
    <t xml:space="preserve">Cape Hattera,NC </t>
  </si>
  <si>
    <t xml:space="preserve">Charlotte,NC  </t>
  </si>
  <si>
    <t xml:space="preserve">Cherry Point,NC </t>
  </si>
  <si>
    <t>Dare Co Gr,NC</t>
  </si>
  <si>
    <t xml:space="preserve">Diamond Sho,NC </t>
  </si>
  <si>
    <t xml:space="preserve">Elizabeth,NC  </t>
  </si>
  <si>
    <t xml:space="preserve">Fayetteville,NC  </t>
  </si>
  <si>
    <t xml:space="preserve">Fort Bragg,NC </t>
  </si>
  <si>
    <t xml:space="preserve">Greensboro,NC  </t>
  </si>
  <si>
    <t xml:space="preserve">Hickory,NC  </t>
  </si>
  <si>
    <t xml:space="preserve">Hot Springs,NC </t>
  </si>
  <si>
    <t xml:space="preserve">Jacksonville,NC  </t>
  </si>
  <si>
    <t xml:space="preserve">Kinston,NC  </t>
  </si>
  <si>
    <t xml:space="preserve">Mackall Aaf,NC </t>
  </si>
  <si>
    <t xml:space="preserve">Manteo Arpt,NC </t>
  </si>
  <si>
    <t xml:space="preserve">New Bern,NC </t>
  </si>
  <si>
    <t xml:space="preserve">New River,NC </t>
  </si>
  <si>
    <t xml:space="preserve">Pope AFB,NC </t>
  </si>
  <si>
    <t xml:space="preserve">Rocky Mt,NC </t>
  </si>
  <si>
    <t xml:space="preserve">Seymour-John,NC  </t>
  </si>
  <si>
    <t xml:space="preserve">Southern Pin,NC </t>
  </si>
  <si>
    <t xml:space="preserve">Wilmington,NC  </t>
  </si>
  <si>
    <t xml:space="preserve">Winston-Salem,NC  </t>
  </si>
  <si>
    <t xml:space="preserve">Bismarck,ND  </t>
  </si>
  <si>
    <t xml:space="preserve">Devil's Lake,ND </t>
  </si>
  <si>
    <t xml:space="preserve">Dickenson,ND  </t>
  </si>
  <si>
    <t xml:space="preserve">Fargo,ND  </t>
  </si>
  <si>
    <t xml:space="preserve">Grand Forks,ND </t>
  </si>
  <si>
    <t xml:space="preserve">Jamestown,ND  </t>
  </si>
  <si>
    <t xml:space="preserve">Lidgerwood,ND  </t>
  </si>
  <si>
    <t xml:space="preserve">Minot AFB,ND </t>
  </si>
  <si>
    <t xml:space="preserve">Minot Intl,ND </t>
  </si>
  <si>
    <t xml:space="preserve">Roseglen,ND  </t>
  </si>
  <si>
    <t xml:space="preserve">Williston,ND  </t>
  </si>
  <si>
    <t xml:space="preserve">Athens/Albany,OH  </t>
  </si>
  <si>
    <t xml:space="preserve">Canton,OH  </t>
  </si>
  <si>
    <t xml:space="preserve">Cincinnati,OH  </t>
  </si>
  <si>
    <t xml:space="preserve">Cleveland,OH  </t>
  </si>
  <si>
    <t xml:space="preserve">Columbus,OH  </t>
  </si>
  <si>
    <t xml:space="preserve">Columbus Osu,OH </t>
  </si>
  <si>
    <t xml:space="preserve">Dayton,OH  </t>
  </si>
  <si>
    <t xml:space="preserve">Findlay,OH  </t>
  </si>
  <si>
    <t xml:space="preserve">Mansfield,OH  </t>
  </si>
  <si>
    <t xml:space="preserve">Rickenbacker,OH  </t>
  </si>
  <si>
    <t xml:space="preserve">Toledo,OH  </t>
  </si>
  <si>
    <t xml:space="preserve">Willoughby,OH  </t>
  </si>
  <si>
    <t xml:space="preserve">Wright-Pat AFB,OH </t>
  </si>
  <si>
    <t xml:space="preserve">Youngstown,OH  </t>
  </si>
  <si>
    <t xml:space="preserve">Zanesville,OH  </t>
  </si>
  <si>
    <t xml:space="preserve">Altus AFB,OK </t>
  </si>
  <si>
    <t xml:space="preserve">Ardmore,OK  </t>
  </si>
  <si>
    <t xml:space="preserve">Bartlesville,OK  </t>
  </si>
  <si>
    <t xml:space="preserve">Clinton,OK  </t>
  </si>
  <si>
    <t xml:space="preserve">Enid,OK  </t>
  </si>
  <si>
    <t xml:space="preserve">Fort Sill,OK </t>
  </si>
  <si>
    <t xml:space="preserve">Gage,OK  </t>
  </si>
  <si>
    <t xml:space="preserve">Hobart,OK  </t>
  </si>
  <si>
    <t xml:space="preserve">Lawton,OK  </t>
  </si>
  <si>
    <t xml:space="preserve">Mcalester,OK  </t>
  </si>
  <si>
    <t xml:space="preserve">Norman,OK  </t>
  </si>
  <si>
    <t xml:space="preserve">Oklahoma Cty,OK </t>
  </si>
  <si>
    <t xml:space="preserve">Page,OK  </t>
  </si>
  <si>
    <t xml:space="preserve">Ponca City,OK </t>
  </si>
  <si>
    <t xml:space="preserve">Stillwater,OK  </t>
  </si>
  <si>
    <t xml:space="preserve">Tinker AFB,OK </t>
  </si>
  <si>
    <t xml:space="preserve">Tulsa,OK  </t>
  </si>
  <si>
    <t xml:space="preserve">Vance AFB,OK </t>
  </si>
  <si>
    <t xml:space="preserve">Astoria,OR  </t>
  </si>
  <si>
    <t xml:space="preserve">Aurora,OR  </t>
  </si>
  <si>
    <t xml:space="preserve">Baker,OR  </t>
  </si>
  <si>
    <t xml:space="preserve">Brookings,OR  </t>
  </si>
  <si>
    <t xml:space="preserve">Burns Arpt,OR </t>
  </si>
  <si>
    <t xml:space="preserve">Cape Blanco,OR </t>
  </si>
  <si>
    <t xml:space="preserve">Cascade,OR  </t>
  </si>
  <si>
    <t xml:space="preserve">Corvallis,OR  </t>
  </si>
  <si>
    <t xml:space="preserve">Eugene,OR  </t>
  </si>
  <si>
    <t xml:space="preserve">Hillsboro,OR  </t>
  </si>
  <si>
    <t xml:space="preserve">Klamath Fall,OR </t>
  </si>
  <si>
    <t xml:space="preserve">La Grande,OR </t>
  </si>
  <si>
    <t xml:space="preserve">Lake View,OR </t>
  </si>
  <si>
    <t xml:space="preserve">Meacham,OR  </t>
  </si>
  <si>
    <t xml:space="preserve">Medford,OR  </t>
  </si>
  <si>
    <t xml:space="preserve">Newport,OR  </t>
  </si>
  <si>
    <t xml:space="preserve">North Bend,OR </t>
  </si>
  <si>
    <t xml:space="preserve">Ontario,OR  </t>
  </si>
  <si>
    <t xml:space="preserve">Pendleton,OR  </t>
  </si>
  <si>
    <t xml:space="preserve">Portland,OR  </t>
  </si>
  <si>
    <t xml:space="preserve">Redmond,OR  </t>
  </si>
  <si>
    <t xml:space="preserve">Roseburg,OR  </t>
  </si>
  <si>
    <t xml:space="preserve">Salem,OR  </t>
  </si>
  <si>
    <t xml:space="preserve">Sexton,OR  </t>
  </si>
  <si>
    <t xml:space="preserve">The Dalles,OR </t>
  </si>
  <si>
    <t xml:space="preserve">Troutdale,OR  </t>
  </si>
  <si>
    <t xml:space="preserve">Allentown,PA  </t>
  </si>
  <si>
    <t xml:space="preserve">Altoona,PA  </t>
  </si>
  <si>
    <t xml:space="preserve">Beaver Falls,PA </t>
  </si>
  <si>
    <t xml:space="preserve">Blairsville,PA  </t>
  </si>
  <si>
    <t xml:space="preserve">Bradford,PA  </t>
  </si>
  <si>
    <t xml:space="preserve">Dubois,PA  </t>
  </si>
  <si>
    <t xml:space="preserve">Erie,PA  </t>
  </si>
  <si>
    <t xml:space="preserve">Franklin,PA  </t>
  </si>
  <si>
    <t xml:space="preserve">Harrisburg,PA  </t>
  </si>
  <si>
    <t xml:space="preserve">Johnstown,PA  </t>
  </si>
  <si>
    <t xml:space="preserve">Lancaster,PA  </t>
  </si>
  <si>
    <t xml:space="preserve">Latrobe,PA  </t>
  </si>
  <si>
    <t xml:space="preserve">Middletown,PA  </t>
  </si>
  <si>
    <t xml:space="preserve">Muir,PA  </t>
  </si>
  <si>
    <t xml:space="preserve">Nth Philadel,PA </t>
  </si>
  <si>
    <t xml:space="preserve">Philadelphia,PA  </t>
  </si>
  <si>
    <t xml:space="preserve">Philipsburg,PA  </t>
  </si>
  <si>
    <t xml:space="preserve">Pittsburgh,PA  </t>
  </si>
  <si>
    <t xml:space="preserve">Reading,PA  </t>
  </si>
  <si>
    <t xml:space="preserve">Site R,PA </t>
  </si>
  <si>
    <t xml:space="preserve">State Colleg,PA </t>
  </si>
  <si>
    <t xml:space="preserve">Wilkes-Barre,PA  </t>
  </si>
  <si>
    <t xml:space="preserve">Williamsport,PA  </t>
  </si>
  <si>
    <t xml:space="preserve">Willow Grove,PA </t>
  </si>
  <si>
    <t xml:space="preserve">Block Island,RI </t>
  </si>
  <si>
    <t xml:space="preserve">Nth Kingston,RI </t>
  </si>
  <si>
    <t xml:space="preserve">Providence,RI  </t>
  </si>
  <si>
    <t>Quonset Pt NAS,RI</t>
  </si>
  <si>
    <t xml:space="preserve">Anderson,SC  </t>
  </si>
  <si>
    <t xml:space="preserve">Beaufort Mca,SC </t>
  </si>
  <si>
    <t xml:space="preserve">Charleston,SC  </t>
  </si>
  <si>
    <t xml:space="preserve">Columbia,SC  </t>
  </si>
  <si>
    <t xml:space="preserve">Florence,SC  </t>
  </si>
  <si>
    <t xml:space="preserve">Greenville,SC  </t>
  </si>
  <si>
    <t xml:space="preserve">Mcentire,SC  </t>
  </si>
  <si>
    <t xml:space="preserve">Myrtle Beach,SC </t>
  </si>
  <si>
    <t>Nth Myrtle B,SC</t>
  </si>
  <si>
    <t xml:space="preserve">Shaw AFB,SC </t>
  </si>
  <si>
    <t xml:space="preserve">Spartanburg,SC  </t>
  </si>
  <si>
    <t xml:space="preserve">Aberdeen,SD  </t>
  </si>
  <si>
    <t xml:space="preserve">Brookings,SD  </t>
  </si>
  <si>
    <t xml:space="preserve">Chamberlain,SD  </t>
  </si>
  <si>
    <t xml:space="preserve">Custer,SD  </t>
  </si>
  <si>
    <t xml:space="preserve">Ellsworth Af,SD </t>
  </si>
  <si>
    <t xml:space="preserve">Huron,SD  </t>
  </si>
  <si>
    <t xml:space="preserve">Lemmon,SD  </t>
  </si>
  <si>
    <t xml:space="preserve">Mitchell,SD  </t>
  </si>
  <si>
    <t xml:space="preserve">Mobridge,SD  </t>
  </si>
  <si>
    <t xml:space="preserve">Philip,SD  </t>
  </si>
  <si>
    <t xml:space="preserve">Pierre,SD  </t>
  </si>
  <si>
    <t xml:space="preserve">Rapid City,SD </t>
  </si>
  <si>
    <t xml:space="preserve">Redig,SD  </t>
  </si>
  <si>
    <t xml:space="preserve">Sioux Falls,SD </t>
  </si>
  <si>
    <t xml:space="preserve">Watertown,SD  </t>
  </si>
  <si>
    <t xml:space="preserve">Yankton,SD  </t>
  </si>
  <si>
    <t xml:space="preserve">Bristol,TN  </t>
  </si>
  <si>
    <t xml:space="preserve">Chattanooga,TN  </t>
  </si>
  <si>
    <t xml:space="preserve">Clarksville,TN  </t>
  </si>
  <si>
    <t xml:space="preserve">Crossville,TN  </t>
  </si>
  <si>
    <t xml:space="preserve">Dyersburg,TN  </t>
  </si>
  <si>
    <t xml:space="preserve">Jackson,TN  </t>
  </si>
  <si>
    <t xml:space="preserve">Knoxville,TN  </t>
  </si>
  <si>
    <t xml:space="preserve">Memphis Intl,TN </t>
  </si>
  <si>
    <t xml:space="preserve">Memphis NAS,TN </t>
  </si>
  <si>
    <t xml:space="preserve">Monteagle,TN  </t>
  </si>
  <si>
    <t xml:space="preserve">Nashville,TN  </t>
  </si>
  <si>
    <t xml:space="preserve">Smyrna,TN  </t>
  </si>
  <si>
    <t xml:space="preserve">Abilene,TX  </t>
  </si>
  <si>
    <t xml:space="preserve">Alice,TX  </t>
  </si>
  <si>
    <t xml:space="preserve">Amarillo,TX  </t>
  </si>
  <si>
    <t xml:space="preserve">Austin,TX  </t>
  </si>
  <si>
    <t xml:space="preserve">Bergstrom Af,TX </t>
  </si>
  <si>
    <t xml:space="preserve">Big Sky,TX </t>
  </si>
  <si>
    <t xml:space="preserve">Big Spring,TX </t>
  </si>
  <si>
    <t xml:space="preserve">Brownsville,TX  </t>
  </si>
  <si>
    <t xml:space="preserve">Brownwood,TX  </t>
  </si>
  <si>
    <t xml:space="preserve">Carswell AFB,TX </t>
  </si>
  <si>
    <t xml:space="preserve">Chase NAS,TX </t>
  </si>
  <si>
    <t xml:space="preserve">Childress,TX  </t>
  </si>
  <si>
    <t xml:space="preserve">College Stn,TX </t>
  </si>
  <si>
    <t xml:space="preserve">Corpus Chrst,TX </t>
  </si>
  <si>
    <t xml:space="preserve">Cotulla,TX  </t>
  </si>
  <si>
    <t xml:space="preserve">D.w. Hooks,TX </t>
  </si>
  <si>
    <t xml:space="preserve">Dalhart,TX  </t>
  </si>
  <si>
    <t xml:space="preserve">Dallas NAS,TX </t>
  </si>
  <si>
    <t xml:space="preserve">Dallas/Addis,TX  </t>
  </si>
  <si>
    <t xml:space="preserve">Dallas/FW,TX  </t>
  </si>
  <si>
    <t xml:space="preserve">Dallas/Love,TX  </t>
  </si>
  <si>
    <t xml:space="preserve">Dallas/Redbr,TX  </t>
  </si>
  <si>
    <t xml:space="preserve">Del Rio,TX </t>
  </si>
  <si>
    <t xml:space="preserve">Dyess AFB,TX </t>
  </si>
  <si>
    <t xml:space="preserve">El Paso,TX </t>
  </si>
  <si>
    <t xml:space="preserve">Ellington Af,TX </t>
  </si>
  <si>
    <t xml:space="preserve">Fort Worth,TX </t>
  </si>
  <si>
    <t>Ft Hood Aaf,TX</t>
  </si>
  <si>
    <t xml:space="preserve">Galveston,TX  </t>
  </si>
  <si>
    <t xml:space="preserve">Gray AFB,TX </t>
  </si>
  <si>
    <t xml:space="preserve">Greenville,TX  </t>
  </si>
  <si>
    <t xml:space="preserve">Guadalupe Ps,TX </t>
  </si>
  <si>
    <t xml:space="preserve">Harlingen,TX  </t>
  </si>
  <si>
    <t xml:space="preserve">Hondo,TX  </t>
  </si>
  <si>
    <t xml:space="preserve">Houston,TX  </t>
  </si>
  <si>
    <t xml:space="preserve">Houston/Hobby,TX  </t>
  </si>
  <si>
    <t xml:space="preserve">Junction,TX  </t>
  </si>
  <si>
    <t xml:space="preserve">Kelly AFB,TX </t>
  </si>
  <si>
    <t xml:space="preserve">Kerrville,TX  </t>
  </si>
  <si>
    <t xml:space="preserve">Killeen,TX  </t>
  </si>
  <si>
    <t xml:space="preserve">Kingsville,TX  </t>
  </si>
  <si>
    <t xml:space="preserve">Laredo Intl,TX </t>
  </si>
  <si>
    <t xml:space="preserve">Laughlin AFB,TX </t>
  </si>
  <si>
    <t xml:space="preserve">Longview,TX  </t>
  </si>
  <si>
    <t xml:space="preserve">Lubbock,TX  </t>
  </si>
  <si>
    <t xml:space="preserve">Lufkin,TX  </t>
  </si>
  <si>
    <t xml:space="preserve">Marfa,TX  </t>
  </si>
  <si>
    <t xml:space="preserve">Mcallen,TX  </t>
  </si>
  <si>
    <t xml:space="preserve">Midland,TX  </t>
  </si>
  <si>
    <t xml:space="preserve">Mineral Wlls,TX </t>
  </si>
  <si>
    <t xml:space="preserve">Palacios,TX  </t>
  </si>
  <si>
    <t xml:space="preserve">Paris/Cox,TX  </t>
  </si>
  <si>
    <t xml:space="preserve">Plainview,TX  </t>
  </si>
  <si>
    <t xml:space="preserve">Port Arthur,TX </t>
  </si>
  <si>
    <t xml:space="preserve">Randolph AFB,TX </t>
  </si>
  <si>
    <t xml:space="preserve">Reese AFB,TX </t>
  </si>
  <si>
    <t xml:space="preserve">Rockport,TX  </t>
  </si>
  <si>
    <t xml:space="preserve">San Angelo,TX </t>
  </si>
  <si>
    <t xml:space="preserve">San Antonio,TX </t>
  </si>
  <si>
    <t xml:space="preserve">Sanderson,TX  </t>
  </si>
  <si>
    <t xml:space="preserve">Sherman-Deni,TX  </t>
  </si>
  <si>
    <t xml:space="preserve">South Brazos,TX </t>
  </si>
  <si>
    <t xml:space="preserve">Stephenville,TX  </t>
  </si>
  <si>
    <t xml:space="preserve">Temple,TX  </t>
  </si>
  <si>
    <t xml:space="preserve">Tyler/Pounds,TX  </t>
  </si>
  <si>
    <t xml:space="preserve">Victoria,TX  </t>
  </si>
  <si>
    <t xml:space="preserve">Waco-Madison,TX  </t>
  </si>
  <si>
    <t xml:space="preserve">Wichita Flls,TX </t>
  </si>
  <si>
    <t xml:space="preserve">Wink,TX  </t>
  </si>
  <si>
    <t xml:space="preserve">Blanding,UT  </t>
  </si>
  <si>
    <t xml:space="preserve">Bullfrog Mar,UT </t>
  </si>
  <si>
    <t xml:space="preserve">Cedar City,UT </t>
  </si>
  <si>
    <t xml:space="preserve">Delta,UT  </t>
  </si>
  <si>
    <t xml:space="preserve">Dugway Prvgr,UT </t>
  </si>
  <si>
    <t xml:space="preserve">Eagle Range,UT </t>
  </si>
  <si>
    <t xml:space="preserve">Green River,UT </t>
  </si>
  <si>
    <t xml:space="preserve">Hanksville,UT  </t>
  </si>
  <si>
    <t xml:space="preserve">Hill AFB,UT </t>
  </si>
  <si>
    <t xml:space="preserve">Logan,UT  </t>
  </si>
  <si>
    <t xml:space="preserve">Milford,UT  </t>
  </si>
  <si>
    <t xml:space="preserve">Moab,UT  </t>
  </si>
  <si>
    <t xml:space="preserve">Ogden,UT  </t>
  </si>
  <si>
    <t xml:space="preserve">Price/Carbon,UT  </t>
  </si>
  <si>
    <t xml:space="preserve">Provo,UT  </t>
  </si>
  <si>
    <t xml:space="preserve">Roosevelt,UT  </t>
  </si>
  <si>
    <t xml:space="preserve">Saint George,UT </t>
  </si>
  <si>
    <t>Salt Lake Ct,UT</t>
  </si>
  <si>
    <t xml:space="preserve">Tooele,UT  </t>
  </si>
  <si>
    <t xml:space="preserve">Vernal,UT  </t>
  </si>
  <si>
    <t xml:space="preserve">Wendover,UT  </t>
  </si>
  <si>
    <t xml:space="preserve">Burlington,VT  </t>
  </si>
  <si>
    <t xml:space="preserve">Montpelier,VT  </t>
  </si>
  <si>
    <t xml:space="preserve">Newport,VT  </t>
  </si>
  <si>
    <t xml:space="preserve">Rutland,VT  </t>
  </si>
  <si>
    <t xml:space="preserve">St Johnsbury,VT </t>
  </si>
  <si>
    <t xml:space="preserve">Wilmington,VT  </t>
  </si>
  <si>
    <t xml:space="preserve">Charlottesvi,VA  </t>
  </si>
  <si>
    <t xml:space="preserve">Chesapeake,VA  </t>
  </si>
  <si>
    <t xml:space="preserve">Danville,VA  </t>
  </si>
  <si>
    <t xml:space="preserve">Fort Belvoir,VA </t>
  </si>
  <si>
    <t xml:space="preserve">Fort Eustis,VA </t>
  </si>
  <si>
    <t xml:space="preserve">Hot Springs,VA </t>
  </si>
  <si>
    <t xml:space="preserve">Langley AFB,VA </t>
  </si>
  <si>
    <t xml:space="preserve">Lynchburg,VA  </t>
  </si>
  <si>
    <t xml:space="preserve">Newport News,VA </t>
  </si>
  <si>
    <t xml:space="preserve">Norfolk NAS,VA </t>
  </si>
  <si>
    <t xml:space="preserve">Norfolk Rgnl,VA </t>
  </si>
  <si>
    <t xml:space="preserve">Oceana NAS,VA </t>
  </si>
  <si>
    <t xml:space="preserve">Quantico Mca,VA </t>
  </si>
  <si>
    <t xml:space="preserve">Richmond,VA  </t>
  </si>
  <si>
    <t xml:space="preserve">Roanoke Muni,VA </t>
  </si>
  <si>
    <t xml:space="preserve">Staunton,VA  </t>
  </si>
  <si>
    <t xml:space="preserve">Volens,VA  </t>
  </si>
  <si>
    <t xml:space="preserve">Wallops Sta,VA </t>
  </si>
  <si>
    <t xml:space="preserve">Bellingham,WA  </t>
  </si>
  <si>
    <t xml:space="preserve">Bremerton,WA  </t>
  </si>
  <si>
    <t xml:space="preserve">Burlington,WA  </t>
  </si>
  <si>
    <t xml:space="preserve">Colville,WA  </t>
  </si>
  <si>
    <t xml:space="preserve">Ephrata,WA  </t>
  </si>
  <si>
    <t xml:space="preserve">Everet/Paine,WA  </t>
  </si>
  <si>
    <t xml:space="preserve">Fairchild,WA  </t>
  </si>
  <si>
    <t xml:space="preserve">Fort Lewis,WA </t>
  </si>
  <si>
    <t xml:space="preserve">Hanford,WA  </t>
  </si>
  <si>
    <t xml:space="preserve">Hoquiam,WA  </t>
  </si>
  <si>
    <t xml:space="preserve">Mcchord AFB,WA </t>
  </si>
  <si>
    <t xml:space="preserve">Moses Lake,WA </t>
  </si>
  <si>
    <t xml:space="preserve">Oak Harbor,WA </t>
  </si>
  <si>
    <t xml:space="preserve">Olympia,WA  </t>
  </si>
  <si>
    <t xml:space="preserve">Omak,WA  </t>
  </si>
  <si>
    <t xml:space="preserve">Pasco,WA  </t>
  </si>
  <si>
    <t xml:space="preserve">Port Angeles,WA </t>
  </si>
  <si>
    <t xml:space="preserve">Pullman,WA  </t>
  </si>
  <si>
    <t xml:space="preserve">Quillayute,WA  </t>
  </si>
  <si>
    <t xml:space="preserve">Renton,WA  </t>
  </si>
  <si>
    <t xml:space="preserve">Seattle,WA  </t>
  </si>
  <si>
    <t xml:space="preserve">Seattle/Boeing,WA  </t>
  </si>
  <si>
    <t xml:space="preserve">Shelton,WA  </t>
  </si>
  <si>
    <t xml:space="preserve">Spokane,WA  </t>
  </si>
  <si>
    <t xml:space="preserve">Stampede Pas,WA </t>
  </si>
  <si>
    <t xml:space="preserve">Tacoma,WA  </t>
  </si>
  <si>
    <t xml:space="preserve">Toledo,WA  </t>
  </si>
  <si>
    <t xml:space="preserve">Walla Walla,WA </t>
  </si>
  <si>
    <t xml:space="preserve">Wenatchee,WA  </t>
  </si>
  <si>
    <t xml:space="preserve">Whidbey Is,WA </t>
  </si>
  <si>
    <t xml:space="preserve">Yakima,WA  </t>
  </si>
  <si>
    <t xml:space="preserve">Beckley,WV  </t>
  </si>
  <si>
    <t xml:space="preserve">Bluefield,WV  </t>
  </si>
  <si>
    <t xml:space="preserve">Charleston,WV  </t>
  </si>
  <si>
    <t xml:space="preserve">Clarksburg,WV  </t>
  </si>
  <si>
    <t xml:space="preserve">Elkins,WV  </t>
  </si>
  <si>
    <t xml:space="preserve">Huntington,WV  </t>
  </si>
  <si>
    <t xml:space="preserve">Lewisburg,WV  </t>
  </si>
  <si>
    <t xml:space="preserve">Martinsburg,WV  </t>
  </si>
  <si>
    <t xml:space="preserve">Morgantown,WV  </t>
  </si>
  <si>
    <t xml:space="preserve">Parkersburg,WV  </t>
  </si>
  <si>
    <t xml:space="preserve">Wheeling,WV  </t>
  </si>
  <si>
    <t xml:space="preserve">White Sulph,WV </t>
  </si>
  <si>
    <t xml:space="preserve">Appleton,WI  </t>
  </si>
  <si>
    <t xml:space="preserve">Eau Claire,WI </t>
  </si>
  <si>
    <t xml:space="preserve">Green Bay,WI </t>
  </si>
  <si>
    <t xml:space="preserve">Janesville,WI  </t>
  </si>
  <si>
    <t xml:space="preserve">La Crosse,WI </t>
  </si>
  <si>
    <t xml:space="preserve">Lone Rock,WI </t>
  </si>
  <si>
    <t xml:space="preserve">Madison,WI  </t>
  </si>
  <si>
    <t xml:space="preserve">Manitowac,WI  </t>
  </si>
  <si>
    <t xml:space="preserve">Milwaukee,WI  </t>
  </si>
  <si>
    <t xml:space="preserve">Mosinee,WI  </t>
  </si>
  <si>
    <t xml:space="preserve">Neenah,WI  </t>
  </si>
  <si>
    <t xml:space="preserve">Oshkosh,WI  </t>
  </si>
  <si>
    <t xml:space="preserve">Rhinelander,WI  </t>
  </si>
  <si>
    <t xml:space="preserve">Rice Lake,WI </t>
  </si>
  <si>
    <t xml:space="preserve">Volk Fld,WI </t>
  </si>
  <si>
    <t xml:space="preserve">Wausau,WI  </t>
  </si>
  <si>
    <t xml:space="preserve">Big Piney,WY </t>
  </si>
  <si>
    <t xml:space="preserve">Casper,WY  </t>
  </si>
  <si>
    <t xml:space="preserve">Cheyenne,WY  </t>
  </si>
  <si>
    <t xml:space="preserve">Cody,WY  </t>
  </si>
  <si>
    <t xml:space="preserve">Douglas,WY  </t>
  </si>
  <si>
    <t xml:space="preserve">Evanston,WY  </t>
  </si>
  <si>
    <t xml:space="preserve">Gillette,WY  </t>
  </si>
  <si>
    <t xml:space="preserve">Jackson,WY  </t>
  </si>
  <si>
    <t xml:space="preserve">Lander,WY  </t>
  </si>
  <si>
    <t xml:space="preserve">Laramie,WY  </t>
  </si>
  <si>
    <t xml:space="preserve">Moorcroft,WY  </t>
  </si>
  <si>
    <t xml:space="preserve">Rawlins,WY  </t>
  </si>
  <si>
    <t xml:space="preserve">Riverton,WY  </t>
  </si>
  <si>
    <t xml:space="preserve">Rock Springs,WY </t>
  </si>
  <si>
    <t xml:space="preserve">Sheridan,WY  </t>
  </si>
  <si>
    <t xml:space="preserve">Worland,WY  </t>
  </si>
  <si>
    <t xml:space="preserve">Yellowstone,WY  </t>
  </si>
  <si>
    <t>State Adj.</t>
  </si>
  <si>
    <t xml:space="preserve">Los Angeles,CA  </t>
  </si>
  <si>
    <t xml:space="preserve">San Diego,CA  </t>
  </si>
  <si>
    <t xml:space="preserve">San Francisco,CA  </t>
  </si>
  <si>
    <t xml:space="preserve">San Jose,CA  </t>
  </si>
  <si>
    <t xml:space="preserve">Washington DC  </t>
  </si>
  <si>
    <t xml:space="preserve">Ft Lauderdale,FL  </t>
  </si>
  <si>
    <t xml:space="preserve">Des Moines,IA  </t>
  </si>
  <si>
    <t xml:space="preserve">Baton Rouge,LA  </t>
  </si>
  <si>
    <t xml:space="preserve">New Orleans,LA  </t>
  </si>
  <si>
    <t xml:space="preserve">Ann Arbor,MI  </t>
  </si>
  <si>
    <t xml:space="preserve">Kansas City,MO  </t>
  </si>
  <si>
    <t xml:space="preserve">St Louis,MO  </t>
  </si>
  <si>
    <t>Omaha</t>
  </si>
  <si>
    <t xml:space="preserve">Las Vegas,NV  </t>
  </si>
  <si>
    <t xml:space="preserve">Raleigh-Durham,NC  </t>
  </si>
  <si>
    <t>Oklahoma City</t>
  </si>
  <si>
    <t xml:space="preserve">San Antonio,TX  </t>
  </si>
  <si>
    <t>UT</t>
  </si>
  <si>
    <t>State_Adj</t>
  </si>
  <si>
    <t xml:space="preserve">Long Beach,CA  </t>
  </si>
  <si>
    <t xml:space="preserve">Little Rock,AR  </t>
  </si>
  <si>
    <t>AL</t>
  </si>
  <si>
    <t>AK</t>
  </si>
  <si>
    <t>AZ</t>
  </si>
  <si>
    <t>CA</t>
  </si>
  <si>
    <t>CO</t>
  </si>
  <si>
    <t>DC</t>
  </si>
  <si>
    <t>FL</t>
  </si>
  <si>
    <t>GA</t>
  </si>
  <si>
    <t>HI</t>
  </si>
  <si>
    <t>IL</t>
  </si>
  <si>
    <t>IN</t>
  </si>
  <si>
    <t>LA</t>
  </si>
  <si>
    <t>MD</t>
  </si>
  <si>
    <t>MA</t>
  </si>
  <si>
    <t>MI</t>
  </si>
  <si>
    <t>MN</t>
  </si>
  <si>
    <t>MO</t>
  </si>
  <si>
    <t>NV</t>
  </si>
  <si>
    <t>NM</t>
  </si>
  <si>
    <t>NY</t>
  </si>
  <si>
    <t>NC</t>
  </si>
  <si>
    <t>OH</t>
  </si>
  <si>
    <t>OK</t>
  </si>
  <si>
    <t>OR</t>
  </si>
  <si>
    <t>PA</t>
  </si>
  <si>
    <t>TN</t>
  </si>
  <si>
    <t>TX</t>
  </si>
  <si>
    <t>WA</t>
  </si>
  <si>
    <t>WI</t>
  </si>
  <si>
    <t>Birmingham</t>
  </si>
  <si>
    <t>Anchorage</t>
  </si>
  <si>
    <t>Phoenix</t>
  </si>
  <si>
    <t>Tucson</t>
  </si>
  <si>
    <t>Los Angeles</t>
  </si>
  <si>
    <t>Oakland</t>
  </si>
  <si>
    <t>San Diego</t>
  </si>
  <si>
    <t>San Francisco</t>
  </si>
  <si>
    <t>Denver</t>
  </si>
  <si>
    <t>Jacksonville</t>
  </si>
  <si>
    <t>Orlando</t>
  </si>
  <si>
    <t>Atlanta</t>
  </si>
  <si>
    <t>Chicago</t>
  </si>
  <si>
    <t>Indianapolis</t>
  </si>
  <si>
    <t>New Orleans</t>
  </si>
  <si>
    <t>Baltimore</t>
  </si>
  <si>
    <t>Boston</t>
  </si>
  <si>
    <t>Minneapolis</t>
  </si>
  <si>
    <t>Kansas City</t>
  </si>
  <si>
    <t>St Louis</t>
  </si>
  <si>
    <t>Las Vegas</t>
  </si>
  <si>
    <t>Albuquerque</t>
  </si>
  <si>
    <t>Charlotte</t>
  </si>
  <si>
    <t>Raleigh-Durham</t>
  </si>
  <si>
    <t>Cincinnati</t>
  </si>
  <si>
    <t>Cleveland</t>
  </si>
  <si>
    <t>Tulsa</t>
  </si>
  <si>
    <t>Portland</t>
  </si>
  <si>
    <t>Philadelphia</t>
  </si>
  <si>
    <t>Pittsburgh</t>
  </si>
  <si>
    <t>Nashville</t>
  </si>
  <si>
    <t>Austin</t>
  </si>
  <si>
    <t>Houston</t>
  </si>
  <si>
    <t>San Antonio</t>
  </si>
  <si>
    <t xml:space="preserve">Salt Lake </t>
  </si>
  <si>
    <t>Seattle</t>
  </si>
  <si>
    <t>Milwaukee</t>
  </si>
  <si>
    <t>Washington 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</si>
</sst>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u/>
      <sz val="10"/>
      <color theme="10"/>
      <name val="Arial Narrow"/>
      <family val="2"/>
    </font>
    <font>
      <sz val="10"/>
      <color rgb="FF000000"/>
      <name val="Arial Narrow"/>
      <family val="2"/>
    </font>
    <font>
      <i/>
      <sz val="10"/>
      <color rgb="FF000000"/>
      <name val="Arial Narrow"/>
      <family val="2"/>
    </font>
    <font>
      <b/>
      <sz val="10"/>
      <color rgb="FFFFFFFF"/>
      <name val="Arial Narrow"/>
      <family val="2"/>
    </font>
    <font>
      <sz val="10"/>
      <color rgb="FF0000FF"/>
      <name val="Arial Narrow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6">
    <xf numFmtId="0" fontId="0" fillId="0" borderId="0" xfId="0"/>
    <xf numFmtId="0" fontId="3" fillId="0" borderId="0" xfId="0" applyFont="1" applyAlignment="1">
      <alignment vertical="center"/>
    </xf>
    <xf numFmtId="0" fontId="0" fillId="0" borderId="0" xfId="0" applyFont="1"/>
    <xf numFmtId="0" fontId="2" fillId="0" borderId="0" xfId="1" applyFont="1" applyAlignment="1">
      <alignment vertical="center"/>
    </xf>
    <xf numFmtId="0" fontId="0" fillId="0" borderId="0" xfId="0" applyFont="1" applyAlignment="1">
      <alignment vertical="center"/>
    </xf>
    <xf numFmtId="0" fontId="2" fillId="0" borderId="0" xfId="1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0" fillId="0" borderId="0" xfId="0" applyFont="1" applyAlignment="1">
      <alignment horizontal="center"/>
    </xf>
    <xf numFmtId="0" fontId="5" fillId="2" borderId="0" xfId="0" applyFont="1" applyFill="1" applyBorder="1" applyAlignment="1">
      <alignment horizontal="center"/>
    </xf>
    <xf numFmtId="4" fontId="0" fillId="0" borderId="0" xfId="0" applyNumberFormat="1" applyFont="1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4" fontId="0" fillId="0" borderId="0" xfId="0" applyNumberFormat="1"/>
    <xf numFmtId="0" fontId="6" fillId="0" borderId="0" xfId="0" applyFont="1"/>
    <xf numFmtId="0" fontId="6" fillId="0" borderId="0" xfId="0" applyFont="1" applyAlignment="1">
      <alignment horizontal="center"/>
    </xf>
    <xf numFmtId="4" fontId="6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00FF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C0C0C0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w3.org/2003/01/geo/test/ustowns/latlong.htm" TargetMode="External"/><Relationship Id="rId1" Type="http://schemas.openxmlformats.org/officeDocument/2006/relationships/hyperlink" Target="mailto:info@realestate3d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7"/>
  <sheetViews>
    <sheetView showGridLines="0" tabSelected="1" workbookViewId="0">
      <selection activeCell="A11" sqref="A11"/>
    </sheetView>
  </sheetViews>
  <sheetFormatPr defaultRowHeight="12.75" x14ac:dyDescent="0.2"/>
  <cols>
    <col min="1" max="1" width="16.83203125" bestFit="1" customWidth="1"/>
  </cols>
  <sheetData>
    <row r="1" spans="1:4" x14ac:dyDescent="0.2">
      <c r="A1" s="11" t="s">
        <v>2709</v>
      </c>
      <c r="B1" s="11" t="s">
        <v>2174</v>
      </c>
      <c r="C1" s="11" t="s">
        <v>57</v>
      </c>
      <c r="D1" s="11" t="s">
        <v>58</v>
      </c>
    </row>
    <row r="2" spans="1:4" x14ac:dyDescent="0.2">
      <c r="A2" t="s">
        <v>3909</v>
      </c>
      <c r="B2" s="10" t="s">
        <v>3880</v>
      </c>
      <c r="C2" s="15">
        <v>33.518660718609198</v>
      </c>
      <c r="D2" s="15">
        <v>-86.8103245118795</v>
      </c>
    </row>
    <row r="3" spans="1:4" x14ac:dyDescent="0.2">
      <c r="A3" t="s">
        <v>3910</v>
      </c>
      <c r="B3" s="10" t="s">
        <v>3881</v>
      </c>
      <c r="C3" s="15">
        <v>61.217040545347402</v>
      </c>
      <c r="D3" s="15">
        <v>-149.89081901925601</v>
      </c>
    </row>
    <row r="4" spans="1:4" x14ac:dyDescent="0.2">
      <c r="A4" t="s">
        <v>3911</v>
      </c>
      <c r="B4" s="10" t="s">
        <v>3882</v>
      </c>
      <c r="C4" s="15">
        <v>33.455475890967698</v>
      </c>
      <c r="D4" s="15">
        <v>-112.070275382977</v>
      </c>
    </row>
    <row r="5" spans="1:4" x14ac:dyDescent="0.2">
      <c r="A5" t="s">
        <v>3912</v>
      </c>
      <c r="B5" s="10" t="s">
        <v>3882</v>
      </c>
      <c r="C5" s="15">
        <v>32.220171743508601</v>
      </c>
      <c r="D5" s="15">
        <v>-110.974050410678</v>
      </c>
    </row>
    <row r="6" spans="1:4" x14ac:dyDescent="0.2">
      <c r="A6" t="s">
        <v>3913</v>
      </c>
      <c r="B6" s="10" t="s">
        <v>3883</v>
      </c>
      <c r="C6" s="15">
        <v>34.044218488932898</v>
      </c>
      <c r="D6" s="15">
        <v>-118.244182150415</v>
      </c>
    </row>
    <row r="7" spans="1:4" x14ac:dyDescent="0.2">
      <c r="A7" t="s">
        <v>3914</v>
      </c>
      <c r="B7" s="10" t="s">
        <v>3883</v>
      </c>
      <c r="C7" s="15">
        <v>37.804418053688401</v>
      </c>
      <c r="D7" s="15">
        <v>-122.271201855269</v>
      </c>
    </row>
    <row r="8" spans="1:4" x14ac:dyDescent="0.2">
      <c r="A8" t="s">
        <v>3915</v>
      </c>
      <c r="B8" s="10" t="s">
        <v>3883</v>
      </c>
      <c r="C8" s="15">
        <v>32.714678405074302</v>
      </c>
      <c r="D8" s="15">
        <v>-117.16242025144</v>
      </c>
    </row>
    <row r="9" spans="1:4" x14ac:dyDescent="0.2">
      <c r="A9" t="s">
        <v>3916</v>
      </c>
      <c r="B9" s="10" t="s">
        <v>3883</v>
      </c>
      <c r="C9" s="15">
        <v>37.779606794097802</v>
      </c>
      <c r="D9" s="15">
        <v>-122.41764935339501</v>
      </c>
    </row>
    <row r="10" spans="1:4" x14ac:dyDescent="0.2">
      <c r="A10" t="s">
        <v>3917</v>
      </c>
      <c r="B10" s="10" t="s">
        <v>3884</v>
      </c>
      <c r="C10" s="15">
        <v>39.747879862942099</v>
      </c>
      <c r="D10" s="15">
        <v>-105.000036272526</v>
      </c>
    </row>
    <row r="11" spans="1:4" x14ac:dyDescent="0.2">
      <c r="A11" t="s">
        <v>3946</v>
      </c>
      <c r="B11" s="10" t="s">
        <v>3885</v>
      </c>
      <c r="C11" s="15">
        <v>38.905294592832703</v>
      </c>
      <c r="D11" s="15">
        <v>-77.038399216354904</v>
      </c>
    </row>
    <row r="12" spans="1:4" x14ac:dyDescent="0.2">
      <c r="A12" t="s">
        <v>3918</v>
      </c>
      <c r="B12" s="10" t="s">
        <v>3886</v>
      </c>
      <c r="C12" s="15">
        <v>30.327864478963399</v>
      </c>
      <c r="D12" s="15">
        <v>-81.654781802075902</v>
      </c>
    </row>
    <row r="13" spans="1:4" x14ac:dyDescent="0.2">
      <c r="A13" t="s">
        <v>838</v>
      </c>
      <c r="B13" s="10" t="s">
        <v>3886</v>
      </c>
      <c r="C13" s="15">
        <v>25.775390471101101</v>
      </c>
      <c r="D13" s="15">
        <v>-80.1926921850919</v>
      </c>
    </row>
    <row r="14" spans="1:4" x14ac:dyDescent="0.2">
      <c r="A14" t="s">
        <v>3919</v>
      </c>
      <c r="B14" s="10" t="s">
        <v>3886</v>
      </c>
      <c r="C14" s="15">
        <v>28.5390080377015</v>
      </c>
      <c r="D14" s="15">
        <v>-81.3779532318012</v>
      </c>
    </row>
    <row r="15" spans="1:4" x14ac:dyDescent="0.2">
      <c r="A15" t="s">
        <v>871</v>
      </c>
      <c r="B15" s="10" t="s">
        <v>3886</v>
      </c>
      <c r="C15" s="15">
        <v>27.9496770289132</v>
      </c>
      <c r="D15" s="15">
        <v>-82.456355633086005</v>
      </c>
    </row>
    <row r="16" spans="1:4" x14ac:dyDescent="0.2">
      <c r="A16" t="s">
        <v>3920</v>
      </c>
      <c r="B16" s="10" t="s">
        <v>3887</v>
      </c>
      <c r="C16" s="15">
        <v>33.756018392268402</v>
      </c>
      <c r="D16" s="15">
        <v>-84.386817853884907</v>
      </c>
    </row>
    <row r="17" spans="1:4" x14ac:dyDescent="0.2">
      <c r="A17" t="s">
        <v>941</v>
      </c>
      <c r="B17" s="10" t="s">
        <v>3888</v>
      </c>
      <c r="C17" s="15">
        <v>21.310013980227701</v>
      </c>
      <c r="D17" s="15">
        <v>-157.857822901433</v>
      </c>
    </row>
    <row r="18" spans="1:4" x14ac:dyDescent="0.2">
      <c r="A18" t="s">
        <v>3921</v>
      </c>
      <c r="B18" s="10" t="s">
        <v>3889</v>
      </c>
      <c r="C18" s="15">
        <v>41.877655668055198</v>
      </c>
      <c r="D18" s="15">
        <v>-87.623972714074199</v>
      </c>
    </row>
    <row r="19" spans="1:4" x14ac:dyDescent="0.2">
      <c r="A19" t="s">
        <v>3922</v>
      </c>
      <c r="B19" s="10" t="s">
        <v>3890</v>
      </c>
      <c r="C19" s="15">
        <v>39.7743658486988</v>
      </c>
      <c r="D19" s="15">
        <v>-86.1658864046384</v>
      </c>
    </row>
    <row r="20" spans="1:4" x14ac:dyDescent="0.2">
      <c r="A20" t="s">
        <v>3923</v>
      </c>
      <c r="B20" s="10" t="s">
        <v>3891</v>
      </c>
      <c r="C20" s="15">
        <v>29.950885675254099</v>
      </c>
      <c r="D20" s="15">
        <v>-90.024019482603094</v>
      </c>
    </row>
    <row r="21" spans="1:4" x14ac:dyDescent="0.2">
      <c r="A21" t="s">
        <v>3924</v>
      </c>
      <c r="B21" s="10" t="s">
        <v>3892</v>
      </c>
      <c r="C21" s="15">
        <v>39.292274535020802</v>
      </c>
      <c r="D21" s="15">
        <v>-76.616833194748295</v>
      </c>
    </row>
    <row r="22" spans="1:4" x14ac:dyDescent="0.2">
      <c r="A22" t="s">
        <v>3925</v>
      </c>
      <c r="B22" s="10" t="s">
        <v>3893</v>
      </c>
      <c r="C22" s="15">
        <v>42.3617136838077</v>
      </c>
      <c r="D22" s="15">
        <v>-71.058910223364293</v>
      </c>
    </row>
    <row r="23" spans="1:4" x14ac:dyDescent="0.2">
      <c r="A23" t="s">
        <v>1455</v>
      </c>
      <c r="B23" s="10" t="s">
        <v>3894</v>
      </c>
      <c r="C23" s="15">
        <v>42.335825721521701</v>
      </c>
      <c r="D23" s="15">
        <v>-83.049016175415403</v>
      </c>
    </row>
    <row r="24" spans="1:4" x14ac:dyDescent="0.2">
      <c r="A24" t="s">
        <v>3926</v>
      </c>
      <c r="B24" s="10" t="s">
        <v>3895</v>
      </c>
      <c r="C24" s="15">
        <v>44.976509759134402</v>
      </c>
      <c r="D24" s="15">
        <v>-93.275619044088302</v>
      </c>
    </row>
    <row r="25" spans="1:4" x14ac:dyDescent="0.2">
      <c r="A25" t="s">
        <v>3927</v>
      </c>
      <c r="B25" s="10" t="s">
        <v>3896</v>
      </c>
      <c r="C25" s="15">
        <v>39.093028836909099</v>
      </c>
      <c r="D25" s="15">
        <v>-94.582847521044002</v>
      </c>
    </row>
    <row r="26" spans="1:4" x14ac:dyDescent="0.2">
      <c r="A26" t="s">
        <v>3928</v>
      </c>
      <c r="B26" s="10" t="s">
        <v>3896</v>
      </c>
      <c r="C26" s="15">
        <v>38.627375466289202</v>
      </c>
      <c r="D26" s="15">
        <v>-90.193630051211898</v>
      </c>
    </row>
    <row r="27" spans="1:4" x14ac:dyDescent="0.2">
      <c r="A27" t="s">
        <v>3929</v>
      </c>
      <c r="B27" s="10" t="s">
        <v>3897</v>
      </c>
      <c r="C27" s="15">
        <v>36.171870772501997</v>
      </c>
      <c r="D27" s="15">
        <v>-115.140552722902</v>
      </c>
    </row>
    <row r="28" spans="1:4" x14ac:dyDescent="0.2">
      <c r="A28" t="s">
        <v>3930</v>
      </c>
      <c r="B28" s="10" t="s">
        <v>3898</v>
      </c>
      <c r="C28" s="15">
        <v>35.091803271768597</v>
      </c>
      <c r="D28" s="15">
        <v>-106.656113159914</v>
      </c>
    </row>
    <row r="29" spans="1:4" x14ac:dyDescent="0.2">
      <c r="A29" t="s">
        <v>28</v>
      </c>
      <c r="B29" s="10" t="s">
        <v>3899</v>
      </c>
      <c r="C29" s="15">
        <v>40.754882125801899</v>
      </c>
      <c r="D29" s="15">
        <v>-73.981236197758307</v>
      </c>
    </row>
    <row r="30" spans="1:4" x14ac:dyDescent="0.2">
      <c r="A30" t="s">
        <v>3931</v>
      </c>
      <c r="B30" s="10" t="s">
        <v>3900</v>
      </c>
      <c r="C30" s="15">
        <v>35.2304372030355</v>
      </c>
      <c r="D30" s="15">
        <v>-80.801996810286994</v>
      </c>
    </row>
    <row r="31" spans="1:4" x14ac:dyDescent="0.2">
      <c r="A31" t="s">
        <v>3932</v>
      </c>
      <c r="B31" s="10" t="s">
        <v>3900</v>
      </c>
      <c r="C31" s="15">
        <v>36.004855619294403</v>
      </c>
      <c r="D31" s="15">
        <v>-78.948769362241194</v>
      </c>
    </row>
    <row r="32" spans="1:4" x14ac:dyDescent="0.2">
      <c r="A32" t="s">
        <v>3933</v>
      </c>
      <c r="B32" s="10" t="s">
        <v>3901</v>
      </c>
      <c r="C32" s="15">
        <v>39.103109674785799</v>
      </c>
      <c r="D32" s="15">
        <v>-84.5124511661529</v>
      </c>
    </row>
    <row r="33" spans="1:4" x14ac:dyDescent="0.2">
      <c r="A33" t="s">
        <v>3934</v>
      </c>
      <c r="B33" s="10" t="s">
        <v>3901</v>
      </c>
      <c r="C33" s="15">
        <v>41.499959609222799</v>
      </c>
      <c r="D33" s="15">
        <v>-81.683665446414096</v>
      </c>
    </row>
    <row r="34" spans="1:4" x14ac:dyDescent="0.2">
      <c r="A34" t="s">
        <v>3874</v>
      </c>
      <c r="B34" s="10" t="s">
        <v>3902</v>
      </c>
      <c r="C34" s="15">
        <v>35.473646976957298</v>
      </c>
      <c r="D34" s="15">
        <v>-97.513173401379206</v>
      </c>
    </row>
    <row r="35" spans="1:4" x14ac:dyDescent="0.2">
      <c r="A35" t="s">
        <v>3935</v>
      </c>
      <c r="B35" s="10" t="s">
        <v>3902</v>
      </c>
      <c r="C35" s="15">
        <v>36.154061755232803</v>
      </c>
      <c r="D35" s="15">
        <v>-95.992848719118498</v>
      </c>
    </row>
    <row r="36" spans="1:4" x14ac:dyDescent="0.2">
      <c r="A36" t="s">
        <v>3936</v>
      </c>
      <c r="B36" s="10" t="s">
        <v>3903</v>
      </c>
      <c r="C36" s="15">
        <v>45.516498924121997</v>
      </c>
      <c r="D36" s="15">
        <v>-122.679538140877</v>
      </c>
    </row>
    <row r="37" spans="1:4" x14ac:dyDescent="0.2">
      <c r="A37" t="s">
        <v>3937</v>
      </c>
      <c r="B37" s="10" t="s">
        <v>3904</v>
      </c>
      <c r="C37" s="15">
        <v>39.9520073411243</v>
      </c>
      <c r="D37" s="15">
        <v>-75.177777945754301</v>
      </c>
    </row>
    <row r="38" spans="1:4" x14ac:dyDescent="0.2">
      <c r="A38" t="s">
        <v>3938</v>
      </c>
      <c r="B38" s="10" t="s">
        <v>3904</v>
      </c>
      <c r="C38" s="15">
        <v>40.4416237864286</v>
      </c>
      <c r="D38" s="15">
        <v>-80.007301491964895</v>
      </c>
    </row>
    <row r="39" spans="1:4" x14ac:dyDescent="0.2">
      <c r="A39" t="s">
        <v>2269</v>
      </c>
      <c r="B39" s="10" t="s">
        <v>3905</v>
      </c>
      <c r="C39" s="15">
        <v>35.142575795537603</v>
      </c>
      <c r="D39" s="15">
        <v>-90.055798179328207</v>
      </c>
    </row>
    <row r="40" spans="1:4" x14ac:dyDescent="0.2">
      <c r="A40" t="s">
        <v>3939</v>
      </c>
      <c r="B40" s="10" t="s">
        <v>3905</v>
      </c>
      <c r="C40" s="15">
        <v>36.168680274144599</v>
      </c>
      <c r="D40" s="15">
        <v>-86.785993699507898</v>
      </c>
    </row>
    <row r="41" spans="1:4" x14ac:dyDescent="0.2">
      <c r="A41" t="s">
        <v>3940</v>
      </c>
      <c r="B41" s="10" t="s">
        <v>3906</v>
      </c>
      <c r="C41" s="15">
        <v>30.272792282171601</v>
      </c>
      <c r="D41" s="15">
        <v>-97.744727054217506</v>
      </c>
    </row>
    <row r="42" spans="1:4" x14ac:dyDescent="0.2">
      <c r="A42" t="s">
        <v>2321</v>
      </c>
      <c r="B42" s="10" t="s">
        <v>3906</v>
      </c>
      <c r="C42" s="15">
        <v>32.7849171020246</v>
      </c>
      <c r="D42" s="15">
        <v>-96.797210765306303</v>
      </c>
    </row>
    <row r="43" spans="1:4" x14ac:dyDescent="0.2">
      <c r="A43" t="s">
        <v>3941</v>
      </c>
      <c r="B43" s="10" t="s">
        <v>3906</v>
      </c>
      <c r="C43" s="15">
        <v>29.760749054869599</v>
      </c>
      <c r="D43" s="15">
        <v>-95.3687140926735</v>
      </c>
    </row>
    <row r="44" spans="1:4" x14ac:dyDescent="0.2">
      <c r="A44" t="s">
        <v>3942</v>
      </c>
      <c r="B44" s="10" t="s">
        <v>3906</v>
      </c>
      <c r="C44" s="15">
        <v>29.427440187845299</v>
      </c>
      <c r="D44" s="15">
        <v>-98.485056082374896</v>
      </c>
    </row>
    <row r="45" spans="1:4" x14ac:dyDescent="0.2">
      <c r="A45" t="s">
        <v>3943</v>
      </c>
      <c r="B45" s="10" t="s">
        <v>3876</v>
      </c>
      <c r="C45" s="15">
        <v>40.760887685796703</v>
      </c>
      <c r="D45" s="15">
        <v>-111.890010157014</v>
      </c>
    </row>
    <row r="46" spans="1:4" x14ac:dyDescent="0.2">
      <c r="A46" t="s">
        <v>3944</v>
      </c>
      <c r="B46" s="10" t="s">
        <v>3907</v>
      </c>
      <c r="C46" s="15">
        <v>47.605323154151797</v>
      </c>
      <c r="D46" s="15">
        <v>-122.333305609769</v>
      </c>
    </row>
    <row r="47" spans="1:4" x14ac:dyDescent="0.2">
      <c r="A47" t="s">
        <v>3945</v>
      </c>
      <c r="B47" s="10" t="s">
        <v>3908</v>
      </c>
      <c r="C47" s="15">
        <v>43.0389721607892</v>
      </c>
      <c r="D47" s="15">
        <v>-87.903836875258094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75"/>
  <sheetViews>
    <sheetView showGridLines="0" workbookViewId="0">
      <selection sqref="A1:XFD1048576"/>
    </sheetView>
  </sheetViews>
  <sheetFormatPr defaultRowHeight="12.75" x14ac:dyDescent="0.2"/>
  <cols>
    <col min="1" max="1" width="16.83203125" bestFit="1" customWidth="1"/>
  </cols>
  <sheetData>
    <row r="1" spans="1:5" x14ac:dyDescent="0.2">
      <c r="A1" s="11" t="s">
        <v>2709</v>
      </c>
      <c r="B1" s="11" t="s">
        <v>2174</v>
      </c>
      <c r="C1" s="11" t="s">
        <v>3877</v>
      </c>
      <c r="D1" s="11" t="s">
        <v>57</v>
      </c>
      <c r="E1" s="11" t="s">
        <v>58</v>
      </c>
    </row>
    <row r="2" spans="1:5" x14ac:dyDescent="0.2">
      <c r="A2" t="str">
        <f>'Raw List'!J8</f>
        <v>Birmingham</v>
      </c>
      <c r="B2" s="10" t="str">
        <f>'Raw List'!M8</f>
        <v xml:space="preserve">AL </v>
      </c>
      <c r="C2" s="10" t="str">
        <f>SUBSTITUTE(B2," ","")</f>
        <v>AL</v>
      </c>
      <c r="D2" s="12">
        <f>'Raw List'!N8</f>
        <v>33.57</v>
      </c>
      <c r="E2" s="12">
        <f>-'Raw List'!O8</f>
        <v>-86.75</v>
      </c>
    </row>
    <row r="3" spans="1:5" x14ac:dyDescent="0.2">
      <c r="A3" t="str">
        <f>'Raw List'!J28</f>
        <v>Anchorage</v>
      </c>
      <c r="B3" s="10" t="str">
        <f>'Raw List'!M28</f>
        <v xml:space="preserve">AK </v>
      </c>
      <c r="C3" s="10" t="str">
        <f t="shared" ref="C3:C61" si="0">SUBSTITUTE(B3," ","")</f>
        <v>AK</v>
      </c>
      <c r="D3" s="12">
        <f>'Raw List'!N28</f>
        <v>61.17</v>
      </c>
      <c r="E3" s="12">
        <f>-'Raw List'!O28</f>
        <v>-150.02000000000001</v>
      </c>
    </row>
    <row r="4" spans="1:5" x14ac:dyDescent="0.2">
      <c r="A4" t="str">
        <f>'Raw List'!J74</f>
        <v>Juneau</v>
      </c>
      <c r="B4" s="10" t="str">
        <f>'Raw List'!M74</f>
        <v xml:space="preserve">AK </v>
      </c>
      <c r="C4" s="10" t="str">
        <f t="shared" si="0"/>
        <v>AK</v>
      </c>
      <c r="D4" s="12">
        <f>'Raw List'!N74</f>
        <v>58.37</v>
      </c>
      <c r="E4" s="12">
        <f>-'Raw List'!O74</f>
        <v>-134.58000000000001</v>
      </c>
    </row>
    <row r="5" spans="1:5" x14ac:dyDescent="0.2">
      <c r="A5" t="str">
        <f>'Raw List'!J146</f>
        <v>Phoenix</v>
      </c>
      <c r="B5" s="10" t="str">
        <f>'Raw List'!M146</f>
        <v xml:space="preserve">AZ </v>
      </c>
      <c r="C5" s="10" t="str">
        <f t="shared" si="0"/>
        <v>AZ</v>
      </c>
      <c r="D5" s="12">
        <f>'Raw List'!N146</f>
        <v>33.43</v>
      </c>
      <c r="E5" s="12">
        <f>-'Raw List'!O146</f>
        <v>-112.02</v>
      </c>
    </row>
    <row r="6" spans="1:5" x14ac:dyDescent="0.2">
      <c r="A6" t="str">
        <f>'Raw List'!J152</f>
        <v>Tucson</v>
      </c>
      <c r="B6" s="10" t="str">
        <f>'Raw List'!M152</f>
        <v xml:space="preserve">AZ </v>
      </c>
      <c r="C6" s="10" t="str">
        <f t="shared" si="0"/>
        <v>AZ</v>
      </c>
      <c r="D6" s="12">
        <f>'Raw List'!N152</f>
        <v>32.119999999999997</v>
      </c>
      <c r="E6" s="12">
        <f>-'Raw List'!O152</f>
        <v>-110.93</v>
      </c>
    </row>
    <row r="7" spans="1:5" x14ac:dyDescent="0.2">
      <c r="A7" t="str">
        <f>'Raw List'!J170</f>
        <v>Little Rock</v>
      </c>
      <c r="B7" s="10" t="str">
        <f>'Raw List'!M170</f>
        <v xml:space="preserve">AR </v>
      </c>
      <c r="C7" s="10" t="str">
        <f t="shared" si="0"/>
        <v>AR</v>
      </c>
      <c r="D7" s="12">
        <f>'Raw List'!N170</f>
        <v>35.22</v>
      </c>
      <c r="E7" s="12">
        <f>-'Raw List'!O170</f>
        <v>-92.38</v>
      </c>
    </row>
    <row r="8" spans="1:5" x14ac:dyDescent="0.2">
      <c r="A8" t="str">
        <f>'Raw List'!J191</f>
        <v>Burbank</v>
      </c>
      <c r="B8" s="10" t="str">
        <f>'Raw List'!M191</f>
        <v xml:space="preserve">CA </v>
      </c>
      <c r="C8" s="10" t="str">
        <f t="shared" si="0"/>
        <v>CA</v>
      </c>
      <c r="D8" s="12">
        <f>'Raw List'!N191</f>
        <v>34.200000000000003</v>
      </c>
      <c r="E8" s="12">
        <f>-'Raw List'!O191</f>
        <v>-118.37</v>
      </c>
    </row>
    <row r="9" spans="1:5" x14ac:dyDescent="0.2">
      <c r="A9" t="str">
        <f>'Raw List'!J221</f>
        <v>Long Beach</v>
      </c>
      <c r="B9" s="10" t="str">
        <f>'Raw List'!M221</f>
        <v xml:space="preserve">CA </v>
      </c>
      <c r="C9" s="10" t="str">
        <f t="shared" si="0"/>
        <v>CA</v>
      </c>
      <c r="D9" s="12">
        <f>'Raw List'!N221</f>
        <v>33.82</v>
      </c>
      <c r="E9" s="12">
        <f>-'Raw List'!O221</f>
        <v>-118.15</v>
      </c>
    </row>
    <row r="10" spans="1:5" x14ac:dyDescent="0.2">
      <c r="A10" t="str">
        <f>'Raw List'!J223</f>
        <v>Los Angeles</v>
      </c>
      <c r="B10" s="10" t="str">
        <f>'Raw List'!M223</f>
        <v xml:space="preserve">CA </v>
      </c>
      <c r="C10" s="10" t="str">
        <f t="shared" si="0"/>
        <v>CA</v>
      </c>
      <c r="D10" s="12">
        <f>'Raw List'!N223</f>
        <v>33.93</v>
      </c>
      <c r="E10" s="12">
        <f>-'Raw List'!O223</f>
        <v>-118.4</v>
      </c>
    </row>
    <row r="11" spans="1:5" x14ac:dyDescent="0.2">
      <c r="A11" t="str">
        <f>'Raw List'!J242</f>
        <v>Oakland</v>
      </c>
      <c r="B11" s="10" t="str">
        <f>'Raw List'!M242</f>
        <v xml:space="preserve">CA </v>
      </c>
      <c r="C11" s="10" t="str">
        <f t="shared" si="0"/>
        <v>CA</v>
      </c>
      <c r="D11" s="12">
        <f>'Raw List'!N242</f>
        <v>37.729999999999997</v>
      </c>
      <c r="E11" s="12">
        <f>-'Raw List'!O242</f>
        <v>-122.22</v>
      </c>
    </row>
    <row r="12" spans="1:5" x14ac:dyDescent="0.2">
      <c r="A12" t="str">
        <f>'Raw List'!J264</f>
        <v>San Diego</v>
      </c>
      <c r="B12" s="10" t="str">
        <f>'Raw List'!M264</f>
        <v xml:space="preserve">CA </v>
      </c>
      <c r="C12" s="10" t="str">
        <f t="shared" si="0"/>
        <v>CA</v>
      </c>
      <c r="D12" s="12">
        <f>'Raw List'!N264</f>
        <v>32.82</v>
      </c>
      <c r="E12" s="12">
        <f>-'Raw List'!O264</f>
        <v>-117.13</v>
      </c>
    </row>
    <row r="13" spans="1:5" x14ac:dyDescent="0.2">
      <c r="A13" t="str">
        <f>'Raw List'!J269</f>
        <v>San Francisco</v>
      </c>
      <c r="B13" s="10" t="str">
        <f>'Raw List'!M269</f>
        <v xml:space="preserve">CA </v>
      </c>
      <c r="C13" s="10" t="str">
        <f t="shared" si="0"/>
        <v>CA</v>
      </c>
      <c r="D13" s="12">
        <f>'Raw List'!N269</f>
        <v>37.75</v>
      </c>
      <c r="E13" s="12">
        <f>-'Raw List'!O269</f>
        <v>-122.68</v>
      </c>
    </row>
    <row r="14" spans="1:5" x14ac:dyDescent="0.2">
      <c r="A14" t="str">
        <f>'Raw List'!J271</f>
        <v>San Jose</v>
      </c>
      <c r="B14" s="10" t="str">
        <f>'Raw List'!M271</f>
        <v xml:space="preserve">CA </v>
      </c>
      <c r="C14" s="10" t="str">
        <f t="shared" si="0"/>
        <v>CA</v>
      </c>
      <c r="D14" s="12">
        <f>'Raw List'!N271</f>
        <v>37.369999999999997</v>
      </c>
      <c r="E14" s="12">
        <f>-'Raw List'!O271</f>
        <v>-121.92</v>
      </c>
    </row>
    <row r="15" spans="1:5" x14ac:dyDescent="0.2">
      <c r="A15" t="str">
        <f>'Raw List'!J311</f>
        <v>Denver</v>
      </c>
      <c r="B15" s="10" t="str">
        <f>'Raw List'!M311</f>
        <v xml:space="preserve">CO </v>
      </c>
      <c r="C15" s="10" t="str">
        <f t="shared" si="0"/>
        <v>CO</v>
      </c>
      <c r="D15" s="12">
        <f>'Raw List'!N311</f>
        <v>39.75</v>
      </c>
      <c r="E15" s="12">
        <f>-'Raw List'!O311</f>
        <v>-104.87</v>
      </c>
    </row>
    <row r="16" spans="1:5" x14ac:dyDescent="0.2">
      <c r="A16" t="str">
        <f>'Raw List'!J338</f>
        <v>Bridgeport</v>
      </c>
      <c r="B16" s="10" t="str">
        <f>'Raw List'!M338</f>
        <v xml:space="preserve">CT </v>
      </c>
      <c r="C16" s="10" t="str">
        <f t="shared" si="0"/>
        <v>CT</v>
      </c>
      <c r="D16" s="12">
        <f>'Raw List'!N338</f>
        <v>41.17</v>
      </c>
      <c r="E16" s="12">
        <f>-'Raw List'!O338</f>
        <v>-73.13</v>
      </c>
    </row>
    <row r="17" spans="1:5" x14ac:dyDescent="0.2">
      <c r="A17" t="str">
        <f>'Raw List'!J341</f>
        <v>Hartford</v>
      </c>
      <c r="B17" s="10" t="str">
        <f>'Raw List'!M341</f>
        <v xml:space="preserve">CT </v>
      </c>
      <c r="C17" s="10" t="str">
        <f t="shared" si="0"/>
        <v>CT</v>
      </c>
      <c r="D17" s="12">
        <f>'Raw List'!N341</f>
        <v>41.73</v>
      </c>
      <c r="E17" s="12">
        <f>-'Raw List'!O341</f>
        <v>-72.650000000000006</v>
      </c>
    </row>
    <row r="18" spans="1:5" x14ac:dyDescent="0.2">
      <c r="A18" t="str">
        <f>'Raw List'!J357</f>
        <v>Washington</v>
      </c>
      <c r="B18" s="10" t="str">
        <f>'Raw List'!M357</f>
        <v xml:space="preserve">DC </v>
      </c>
      <c r="C18" s="10" t="str">
        <f t="shared" si="0"/>
        <v>DC</v>
      </c>
      <c r="D18" s="12">
        <f>'Raw List'!N357</f>
        <v>38.85</v>
      </c>
      <c r="E18" s="12">
        <f>-'Raw List'!O357</f>
        <v>-77.040000000000006</v>
      </c>
    </row>
    <row r="19" spans="1:5" x14ac:dyDescent="0.2">
      <c r="A19" t="str">
        <f>'Raw List'!J374</f>
        <v>Ft Lauderdale</v>
      </c>
      <c r="B19" s="10" t="str">
        <f>'Raw List'!M374</f>
        <v xml:space="preserve">FL </v>
      </c>
      <c r="C19" s="10" t="str">
        <f t="shared" si="0"/>
        <v>FL</v>
      </c>
      <c r="D19" s="12">
        <f>'Raw List'!N374</f>
        <v>26.07</v>
      </c>
      <c r="E19" s="12">
        <f>-'Raw List'!O374</f>
        <v>-80.150000000000006</v>
      </c>
    </row>
    <row r="20" spans="1:5" x14ac:dyDescent="0.2">
      <c r="A20" t="str">
        <f>'Raw List'!J381</f>
        <v>Jacksonville</v>
      </c>
      <c r="B20" s="10" t="str">
        <f>'Raw List'!M381</f>
        <v xml:space="preserve">FL </v>
      </c>
      <c r="C20" s="10" t="str">
        <f t="shared" si="0"/>
        <v>FL</v>
      </c>
      <c r="D20" s="12">
        <f>'Raw List'!N381</f>
        <v>30.23</v>
      </c>
      <c r="E20" s="12">
        <f>-'Raw List'!O381</f>
        <v>-81.680000000000007</v>
      </c>
    </row>
    <row r="21" spans="1:5" x14ac:dyDescent="0.2">
      <c r="A21" s="13" t="s">
        <v>838</v>
      </c>
      <c r="B21" s="10" t="str">
        <f>'Raw List'!M389</f>
        <v>FL</v>
      </c>
      <c r="C21" s="10" t="str">
        <f t="shared" si="0"/>
        <v>FL</v>
      </c>
      <c r="D21" s="12">
        <f>'Raw List'!N389</f>
        <v>25.82</v>
      </c>
      <c r="E21" s="12">
        <f>-'Raw List'!O389</f>
        <v>-80.28</v>
      </c>
    </row>
    <row r="22" spans="1:5" x14ac:dyDescent="0.2">
      <c r="A22" t="str">
        <f>'Raw List'!J394</f>
        <v>Orlando</v>
      </c>
      <c r="B22" s="10" t="str">
        <f>'Raw List'!M394</f>
        <v xml:space="preserve">FL </v>
      </c>
      <c r="C22" s="10" t="str">
        <f t="shared" si="0"/>
        <v>FL</v>
      </c>
      <c r="D22" s="12">
        <f>'Raw List'!N394</f>
        <v>28.43</v>
      </c>
      <c r="E22" s="12">
        <f>-'Raw List'!O394</f>
        <v>-81.319999999999993</v>
      </c>
    </row>
    <row r="23" spans="1:5" x14ac:dyDescent="0.2">
      <c r="A23" s="13" t="s">
        <v>871</v>
      </c>
      <c r="B23" s="10" t="str">
        <f>'Raw List'!M405</f>
        <v>FL</v>
      </c>
      <c r="C23" s="10" t="str">
        <f t="shared" si="0"/>
        <v>FL</v>
      </c>
      <c r="D23" s="12">
        <f>'Raw List'!N405</f>
        <v>27.97</v>
      </c>
      <c r="E23" s="12">
        <f>-'Raw List'!O405</f>
        <v>-82.53</v>
      </c>
    </row>
    <row r="24" spans="1:5" x14ac:dyDescent="0.2">
      <c r="A24" t="str">
        <f>'Raw List'!J418</f>
        <v>Atlanta</v>
      </c>
      <c r="B24" s="10" t="str">
        <f>'Raw List'!M418</f>
        <v xml:space="preserve">GA </v>
      </c>
      <c r="C24" s="10" t="str">
        <f t="shared" si="0"/>
        <v>GA</v>
      </c>
      <c r="D24" s="12">
        <f>'Raw List'!N418</f>
        <v>33.65</v>
      </c>
      <c r="E24" s="12">
        <f>-'Raw List'!O418</f>
        <v>-84.42</v>
      </c>
    </row>
    <row r="25" spans="1:5" x14ac:dyDescent="0.2">
      <c r="A25" s="13" t="s">
        <v>941</v>
      </c>
      <c r="B25" s="10" t="str">
        <f>'Raw List'!M445</f>
        <v>HI</v>
      </c>
      <c r="C25" s="10" t="str">
        <f t="shared" si="0"/>
        <v>HI</v>
      </c>
      <c r="D25" s="12">
        <f>'Raw List'!N445</f>
        <v>21.35</v>
      </c>
      <c r="E25" s="12">
        <f>-'Raw List'!O445</f>
        <v>-157.93</v>
      </c>
    </row>
    <row r="26" spans="1:5" x14ac:dyDescent="0.2">
      <c r="A26" t="str">
        <f>'Raw List'!J460</f>
        <v>Boise</v>
      </c>
      <c r="B26" s="10" t="str">
        <f>'Raw List'!M460</f>
        <v xml:space="preserve">ID </v>
      </c>
      <c r="C26" s="10" t="str">
        <f t="shared" si="0"/>
        <v>ID</v>
      </c>
      <c r="D26" s="12">
        <f>'Raw List'!N460</f>
        <v>43.57</v>
      </c>
      <c r="E26" s="12">
        <f>-'Raw List'!O460</f>
        <v>-116.22</v>
      </c>
    </row>
    <row r="27" spans="1:5" x14ac:dyDescent="0.2">
      <c r="A27" t="str">
        <f>'Raw List'!J492</f>
        <v>Chicago</v>
      </c>
      <c r="B27" s="10" t="str">
        <f>'Raw List'!M492</f>
        <v xml:space="preserve">IL </v>
      </c>
      <c r="C27" s="10" t="str">
        <f t="shared" si="0"/>
        <v>IL</v>
      </c>
      <c r="D27" s="12">
        <f>'Raw List'!N492</f>
        <v>41.9</v>
      </c>
      <c r="E27" s="12">
        <f>-'Raw List'!O492</f>
        <v>-87.65</v>
      </c>
    </row>
    <row r="28" spans="1:5" x14ac:dyDescent="0.2">
      <c r="A28" t="str">
        <f>'Raw List'!J529</f>
        <v>Indianapolis</v>
      </c>
      <c r="B28" s="10" t="str">
        <f>'Raw List'!M529</f>
        <v xml:space="preserve">IN </v>
      </c>
      <c r="C28" s="10" t="str">
        <f t="shared" si="0"/>
        <v>IN</v>
      </c>
      <c r="D28" s="12">
        <f>'Raw List'!N529</f>
        <v>39.729999999999997</v>
      </c>
      <c r="E28" s="12">
        <f>-'Raw List'!O529</f>
        <v>-86.27</v>
      </c>
    </row>
    <row r="29" spans="1:5" x14ac:dyDescent="0.2">
      <c r="A29" t="str">
        <f>'Raw List'!J539</f>
        <v>Des Moines</v>
      </c>
      <c r="B29" s="10" t="str">
        <f>'Raw List'!M539</f>
        <v xml:space="preserve">IA </v>
      </c>
      <c r="C29" s="10" t="str">
        <f t="shared" si="0"/>
        <v>IA</v>
      </c>
      <c r="D29" s="12">
        <f>'Raw List'!N539</f>
        <v>41.53</v>
      </c>
      <c r="E29" s="12">
        <f>-'Raw List'!O539</f>
        <v>-93.65</v>
      </c>
    </row>
    <row r="30" spans="1:5" x14ac:dyDescent="0.2">
      <c r="A30" t="str">
        <f>'Raw List'!J586</f>
        <v>Louisville</v>
      </c>
      <c r="B30" s="10" t="str">
        <f>'Raw List'!M586</f>
        <v xml:space="preserve">KY </v>
      </c>
      <c r="C30" s="10" t="str">
        <f t="shared" si="0"/>
        <v>KY</v>
      </c>
      <c r="D30" s="12">
        <f>'Raw List'!N586</f>
        <v>38.18</v>
      </c>
      <c r="E30" s="12">
        <f>-'Raw List'!O586</f>
        <v>-85.73</v>
      </c>
    </row>
    <row r="31" spans="1:5" x14ac:dyDescent="0.2">
      <c r="A31" t="str">
        <f>'Raw List'!J595</f>
        <v>Baton Rouge</v>
      </c>
      <c r="B31" s="10" t="str">
        <f>'Raw List'!M595</f>
        <v xml:space="preserve">LA </v>
      </c>
      <c r="C31" s="10" t="str">
        <f t="shared" si="0"/>
        <v>LA</v>
      </c>
      <c r="D31" s="12">
        <f>'Raw List'!N595</f>
        <v>30.53</v>
      </c>
      <c r="E31" s="12">
        <f>-'Raw List'!O595</f>
        <v>-91.15</v>
      </c>
    </row>
    <row r="32" spans="1:5" x14ac:dyDescent="0.2">
      <c r="A32" t="str">
        <f>'Raw List'!J614</f>
        <v>New Orleans</v>
      </c>
      <c r="B32" s="10" t="str">
        <f>'Raw List'!M614</f>
        <v xml:space="preserve">LA </v>
      </c>
      <c r="C32" s="10" t="str">
        <f t="shared" si="0"/>
        <v>LA</v>
      </c>
      <c r="D32" s="12">
        <f>'Raw List'!N614</f>
        <v>29.98</v>
      </c>
      <c r="E32" s="12">
        <f>-'Raw List'!O614</f>
        <v>-90.25</v>
      </c>
    </row>
    <row r="33" spans="1:5" x14ac:dyDescent="0.2">
      <c r="A33" t="str">
        <f>'Raw List'!J633</f>
        <v>Portland</v>
      </c>
      <c r="B33" s="10" t="str">
        <f>'Raw List'!M633</f>
        <v xml:space="preserve">ME </v>
      </c>
      <c r="C33" s="10" t="str">
        <f t="shared" si="0"/>
        <v>ME</v>
      </c>
      <c r="D33" s="12">
        <f>'Raw List'!N633</f>
        <v>43.65</v>
      </c>
      <c r="E33" s="12">
        <f>-'Raw List'!O633</f>
        <v>-70.319999999999993</v>
      </c>
    </row>
    <row r="34" spans="1:5" x14ac:dyDescent="0.2">
      <c r="A34" t="str">
        <f>'Raw List'!J643</f>
        <v>Baltimore</v>
      </c>
      <c r="B34" s="10" t="str">
        <f>'Raw List'!M643</f>
        <v xml:space="preserve">MD </v>
      </c>
      <c r="C34" s="10" t="str">
        <f t="shared" si="0"/>
        <v>MD</v>
      </c>
      <c r="D34" s="12">
        <f>'Raw List'!N643</f>
        <v>39.33</v>
      </c>
      <c r="E34" s="12">
        <f>-'Raw List'!O643</f>
        <v>-76.42</v>
      </c>
    </row>
    <row r="35" spans="1:5" x14ac:dyDescent="0.2">
      <c r="A35" t="str">
        <f>'Raw List'!J655</f>
        <v>Boston</v>
      </c>
      <c r="B35" s="10" t="str">
        <f>'Raw List'!M655</f>
        <v xml:space="preserve">MA </v>
      </c>
      <c r="C35" s="10" t="str">
        <f t="shared" si="0"/>
        <v>MA</v>
      </c>
      <c r="D35" s="12">
        <f>'Raw List'!N655</f>
        <v>42.37</v>
      </c>
      <c r="E35" s="12">
        <f>-'Raw List'!O655</f>
        <v>-71.03</v>
      </c>
    </row>
    <row r="36" spans="1:5" x14ac:dyDescent="0.2">
      <c r="A36" t="str">
        <f>'Raw List'!J674</f>
        <v>Alpena</v>
      </c>
      <c r="B36" s="10" t="str">
        <f>'Raw List'!M674</f>
        <v xml:space="preserve">MI </v>
      </c>
      <c r="C36" s="10" t="str">
        <f t="shared" si="0"/>
        <v>MI</v>
      </c>
      <c r="D36" s="12">
        <f>'Raw List'!N674</f>
        <v>45.07</v>
      </c>
      <c r="E36" s="12">
        <f>-'Raw List'!O674</f>
        <v>-83.57</v>
      </c>
    </row>
    <row r="37" spans="1:5" x14ac:dyDescent="0.2">
      <c r="A37" t="str">
        <f>'Raw List'!J675</f>
        <v>Ann Arbor</v>
      </c>
      <c r="B37" s="10" t="str">
        <f>'Raw List'!M675</f>
        <v xml:space="preserve">MI </v>
      </c>
      <c r="C37" s="10" t="str">
        <f t="shared" si="0"/>
        <v>MI</v>
      </c>
      <c r="D37" s="12">
        <f>'Raw List'!N675</f>
        <v>42.22</v>
      </c>
      <c r="E37" s="12">
        <f>-'Raw List'!O675</f>
        <v>-83.75</v>
      </c>
    </row>
    <row r="38" spans="1:5" x14ac:dyDescent="0.2">
      <c r="A38" t="str">
        <f>'Raw List'!J681</f>
        <v>Detroit</v>
      </c>
      <c r="B38" s="10" t="str">
        <f>'Raw List'!M681</f>
        <v xml:space="preserve">MI </v>
      </c>
      <c r="C38" s="10" t="str">
        <f t="shared" si="0"/>
        <v>MI</v>
      </c>
      <c r="D38" s="12">
        <f>'Raw List'!N681</f>
        <v>42.42</v>
      </c>
      <c r="E38" s="12">
        <f>-'Raw List'!O681</f>
        <v>-83.02</v>
      </c>
    </row>
    <row r="39" spans="1:5" x14ac:dyDescent="0.2">
      <c r="A39" t="str">
        <f>'Raw List'!J728</f>
        <v>Minneapolis</v>
      </c>
      <c r="B39" s="10" t="str">
        <f>'Raw List'!M728</f>
        <v xml:space="preserve">MN </v>
      </c>
      <c r="C39" s="10" t="str">
        <f t="shared" si="0"/>
        <v>MN</v>
      </c>
      <c r="D39" s="12">
        <f>'Raw List'!N728</f>
        <v>44.88</v>
      </c>
      <c r="E39" s="12">
        <f>-'Raw List'!O728</f>
        <v>-93.22</v>
      </c>
    </row>
    <row r="40" spans="1:5" x14ac:dyDescent="0.2">
      <c r="A40" t="str">
        <f>'Raw List'!J765</f>
        <v>Kansas City</v>
      </c>
      <c r="B40" s="10" t="str">
        <f>'Raw List'!M765</f>
        <v xml:space="preserve">MO </v>
      </c>
      <c r="C40" s="10" t="str">
        <f t="shared" si="0"/>
        <v>MO</v>
      </c>
      <c r="D40" s="12">
        <f>'Raw List'!N765</f>
        <v>39.32</v>
      </c>
      <c r="E40" s="12">
        <f>-'Raw List'!O765</f>
        <v>-94.72</v>
      </c>
    </row>
    <row r="41" spans="1:5" x14ac:dyDescent="0.2">
      <c r="A41" t="str">
        <f>'Raw List'!J775</f>
        <v>St Louis</v>
      </c>
      <c r="B41" s="10" t="str">
        <f>'Raw List'!M775</f>
        <v xml:space="preserve">MO </v>
      </c>
      <c r="C41" s="10" t="str">
        <f t="shared" si="0"/>
        <v>MO</v>
      </c>
      <c r="D41" s="12">
        <f>'Raw List'!N775</f>
        <v>38.75</v>
      </c>
      <c r="E41" s="12">
        <f>-'Raw List'!O775</f>
        <v>-90.37</v>
      </c>
    </row>
    <row r="42" spans="1:5" x14ac:dyDescent="0.2">
      <c r="A42" t="str">
        <f>'Raw List'!J784</f>
        <v>Billings</v>
      </c>
      <c r="B42" s="10" t="str">
        <f>'Raw List'!M784</f>
        <v xml:space="preserve">MT </v>
      </c>
      <c r="C42" s="10" t="str">
        <f t="shared" si="0"/>
        <v>MT</v>
      </c>
      <c r="D42" s="12">
        <f>'Raw List'!N784</f>
        <v>45.8</v>
      </c>
      <c r="E42" s="12">
        <f>-'Raw List'!O784</f>
        <v>-108.53</v>
      </c>
    </row>
    <row r="43" spans="1:5" x14ac:dyDescent="0.2">
      <c r="A43" t="str">
        <f>'Raw List'!J785</f>
        <v>Bozeman</v>
      </c>
      <c r="B43" s="10" t="str">
        <f>'Raw List'!M785</f>
        <v xml:space="preserve">MT </v>
      </c>
      <c r="C43" s="10" t="str">
        <f t="shared" si="0"/>
        <v>MT</v>
      </c>
      <c r="D43" s="12">
        <f>'Raw List'!N785</f>
        <v>45.78</v>
      </c>
      <c r="E43" s="12">
        <f>-'Raw List'!O785</f>
        <v>-111.15</v>
      </c>
    </row>
    <row r="44" spans="1:5" x14ac:dyDescent="0.2">
      <c r="A44" s="13" t="s">
        <v>3871</v>
      </c>
      <c r="B44" s="10" t="str">
        <f>'Raw List'!M835</f>
        <v xml:space="preserve">NE </v>
      </c>
      <c r="C44" s="10" t="str">
        <f t="shared" si="0"/>
        <v>NE</v>
      </c>
      <c r="D44" s="12">
        <f>'Raw List'!N835</f>
        <v>41.3</v>
      </c>
      <c r="E44" s="12">
        <f>-'Raw List'!O835</f>
        <v>-95.9</v>
      </c>
    </row>
    <row r="45" spans="1:5" x14ac:dyDescent="0.2">
      <c r="A45" t="str">
        <f>'Raw List'!J854</f>
        <v>Las Vegas</v>
      </c>
      <c r="B45" s="10" t="str">
        <f>'Raw List'!M854</f>
        <v xml:space="preserve">NV </v>
      </c>
      <c r="C45" s="10" t="str">
        <f t="shared" si="0"/>
        <v>NV</v>
      </c>
      <c r="D45" s="12">
        <f>'Raw List'!N854</f>
        <v>36.08</v>
      </c>
      <c r="E45" s="12">
        <f>-'Raw List'!O854</f>
        <v>-115.17</v>
      </c>
    </row>
    <row r="46" spans="1:5" x14ac:dyDescent="0.2">
      <c r="A46" t="str">
        <f>'Raw List'!J859</f>
        <v>Reno</v>
      </c>
      <c r="B46" s="10" t="str">
        <f>'Raw List'!M859</f>
        <v xml:space="preserve">NV </v>
      </c>
      <c r="C46" s="10" t="str">
        <f t="shared" si="0"/>
        <v>NV</v>
      </c>
      <c r="D46" s="12">
        <f>'Raw List'!N859</f>
        <v>39.5</v>
      </c>
      <c r="E46" s="12">
        <f>-'Raw List'!O859</f>
        <v>-119.78</v>
      </c>
    </row>
    <row r="47" spans="1:5" x14ac:dyDescent="0.2">
      <c r="A47" t="str">
        <f>'Raw List'!J894</f>
        <v>Albuquerque</v>
      </c>
      <c r="B47" s="10" t="str">
        <f>'Raw List'!M894</f>
        <v xml:space="preserve">NM </v>
      </c>
      <c r="C47" s="10" t="str">
        <f t="shared" si="0"/>
        <v>NM</v>
      </c>
      <c r="D47" s="12">
        <f>'Raw List'!N894</f>
        <v>35.049999999999997</v>
      </c>
      <c r="E47" s="12">
        <f>-'Raw List'!O894</f>
        <v>-106.6</v>
      </c>
    </row>
    <row r="48" spans="1:5" x14ac:dyDescent="0.2">
      <c r="A48" s="13" t="s">
        <v>28</v>
      </c>
      <c r="B48" s="10" t="str">
        <f>'Raw List'!M940</f>
        <v>NY</v>
      </c>
      <c r="C48" s="10" t="str">
        <f t="shared" si="0"/>
        <v>NY</v>
      </c>
      <c r="D48" s="12">
        <f>'Raw List'!N940</f>
        <v>40.770000000000003</v>
      </c>
      <c r="E48" s="12">
        <f>-'Raw List'!O940</f>
        <v>-73.900000000000006</v>
      </c>
    </row>
    <row r="49" spans="1:5" x14ac:dyDescent="0.2">
      <c r="A49" t="str">
        <f>'Raw List'!J948</f>
        <v>Rochester</v>
      </c>
      <c r="B49" s="10" t="str">
        <f>'Raw List'!M948</f>
        <v xml:space="preserve">NY </v>
      </c>
      <c r="C49" s="10" t="str">
        <f t="shared" si="0"/>
        <v>NY</v>
      </c>
      <c r="D49" s="12">
        <f>'Raw List'!N948</f>
        <v>43.12</v>
      </c>
      <c r="E49" s="12">
        <f>-'Raw List'!O948</f>
        <v>-77.67</v>
      </c>
    </row>
    <row r="50" spans="1:5" x14ac:dyDescent="0.2">
      <c r="A50" t="str">
        <f>'Raw List'!J951</f>
        <v>Syracuse</v>
      </c>
      <c r="B50" s="10" t="str">
        <f>'Raw List'!M951</f>
        <v xml:space="preserve">NY </v>
      </c>
      <c r="C50" s="10" t="str">
        <f t="shared" si="0"/>
        <v>NY</v>
      </c>
      <c r="D50" s="12">
        <f>'Raw List'!N951</f>
        <v>43.12</v>
      </c>
      <c r="E50" s="12">
        <f>-'Raw List'!O951</f>
        <v>-76.12</v>
      </c>
    </row>
    <row r="51" spans="1:5" x14ac:dyDescent="0.2">
      <c r="A51" t="str">
        <f>'Raw List'!J961</f>
        <v>Charlotte</v>
      </c>
      <c r="B51" s="10" t="str">
        <f>'Raw List'!M961</f>
        <v xml:space="preserve">NC </v>
      </c>
      <c r="C51" s="10" t="str">
        <f t="shared" si="0"/>
        <v>NC</v>
      </c>
      <c r="D51" s="12">
        <f>'Raw List'!N961</f>
        <v>35.22</v>
      </c>
      <c r="E51" s="12">
        <f>-'Raw List'!O961</f>
        <v>-80.930000000000007</v>
      </c>
    </row>
    <row r="52" spans="1:5" x14ac:dyDescent="0.2">
      <c r="A52" t="str">
        <f>'Raw List'!J978</f>
        <v>Raleigh-Durham</v>
      </c>
      <c r="B52" s="10" t="str">
        <f>'Raw List'!M978</f>
        <v xml:space="preserve">NC </v>
      </c>
      <c r="C52" s="10" t="str">
        <f t="shared" si="0"/>
        <v>NC</v>
      </c>
      <c r="D52" s="12">
        <f>'Raw List'!N978</f>
        <v>35.869999999999997</v>
      </c>
      <c r="E52" s="12">
        <f>-'Raw List'!O978</f>
        <v>-78.78</v>
      </c>
    </row>
    <row r="53" spans="1:5" x14ac:dyDescent="0.2">
      <c r="A53" t="str">
        <f>'Raw List'!J1005</f>
        <v>Cincinnati</v>
      </c>
      <c r="B53" s="10" t="str">
        <f>'Raw List'!M1005</f>
        <v xml:space="preserve">OH </v>
      </c>
      <c r="C53" s="10" t="str">
        <f t="shared" si="0"/>
        <v>OH</v>
      </c>
      <c r="D53" s="12">
        <f>'Raw List'!N1005</f>
        <v>39.049999999999997</v>
      </c>
      <c r="E53" s="12">
        <f>-'Raw List'!O1005</f>
        <v>-84.67</v>
      </c>
    </row>
    <row r="54" spans="1:5" x14ac:dyDescent="0.2">
      <c r="A54" t="str">
        <f>'Raw List'!J1007</f>
        <v>Cleveland</v>
      </c>
      <c r="B54" s="10" t="str">
        <f>'Raw List'!M1007</f>
        <v xml:space="preserve">OH </v>
      </c>
      <c r="C54" s="10" t="str">
        <f t="shared" si="0"/>
        <v>OH</v>
      </c>
      <c r="D54" s="12">
        <f>'Raw List'!N1007</f>
        <v>41.52</v>
      </c>
      <c r="E54" s="12">
        <f>-'Raw List'!O1007</f>
        <v>-81.680000000000007</v>
      </c>
    </row>
    <row r="55" spans="1:5" x14ac:dyDescent="0.2">
      <c r="A55" s="13" t="s">
        <v>1505</v>
      </c>
      <c r="B55" s="10" t="str">
        <f>'Raw List'!M1011</f>
        <v>OH</v>
      </c>
      <c r="C55" s="10" t="str">
        <f t="shared" si="0"/>
        <v>OH</v>
      </c>
      <c r="D55" s="12">
        <f>'Raw List'!N1011</f>
        <v>40.08</v>
      </c>
      <c r="E55" s="12">
        <f>-'Raw List'!O1011</f>
        <v>-83.07</v>
      </c>
    </row>
    <row r="56" spans="1:5" x14ac:dyDescent="0.2">
      <c r="A56" s="13" t="s">
        <v>3874</v>
      </c>
      <c r="B56" s="10" t="str">
        <f>'Raw List'!M1036</f>
        <v>OK</v>
      </c>
      <c r="C56" s="10" t="str">
        <f t="shared" si="0"/>
        <v>OK</v>
      </c>
      <c r="D56" s="12">
        <f>'Raw List'!N1036</f>
        <v>35.53</v>
      </c>
      <c r="E56" s="12">
        <f>-'Raw List'!O1036</f>
        <v>-97.65</v>
      </c>
    </row>
    <row r="57" spans="1:5" x14ac:dyDescent="0.2">
      <c r="A57" t="str">
        <f>'Raw List'!J1041</f>
        <v>Tulsa</v>
      </c>
      <c r="B57" s="10" t="str">
        <f>'Raw List'!M1041</f>
        <v xml:space="preserve">OK </v>
      </c>
      <c r="C57" s="10" t="str">
        <f t="shared" si="0"/>
        <v>OK</v>
      </c>
      <c r="D57" s="12">
        <f>'Raw List'!N1041</f>
        <v>36.200000000000003</v>
      </c>
      <c r="E57" s="12">
        <f>-'Raw List'!O1041</f>
        <v>-95.9</v>
      </c>
    </row>
    <row r="58" spans="1:5" x14ac:dyDescent="0.2">
      <c r="A58" t="str">
        <f>'Raw List'!J1065</f>
        <v>Portland</v>
      </c>
      <c r="B58" s="10" t="str">
        <f>'Raw List'!M1065</f>
        <v xml:space="preserve">OR </v>
      </c>
      <c r="C58" s="10" t="str">
        <f t="shared" si="0"/>
        <v>OR</v>
      </c>
      <c r="D58" s="12">
        <f>'Raw List'!N1065</f>
        <v>45.6</v>
      </c>
      <c r="E58" s="12">
        <f>-'Raw List'!O1065</f>
        <v>-122.6</v>
      </c>
    </row>
    <row r="59" spans="1:5" x14ac:dyDescent="0.2">
      <c r="A59" t="str">
        <f>'Raw List'!J1084</f>
        <v>Harrisburg</v>
      </c>
      <c r="B59" s="10" t="str">
        <f>'Raw List'!M1084</f>
        <v xml:space="preserve">PA </v>
      </c>
      <c r="C59" s="10" t="str">
        <f t="shared" si="0"/>
        <v>PA</v>
      </c>
      <c r="D59" s="12">
        <f>'Raw List'!N1084</f>
        <v>40.369999999999997</v>
      </c>
      <c r="E59" s="12">
        <f>-'Raw List'!O1084</f>
        <v>-77.42</v>
      </c>
    </row>
    <row r="60" spans="1:5" x14ac:dyDescent="0.2">
      <c r="A60" t="str">
        <f>'Raw List'!J1091</f>
        <v>Philadelphia</v>
      </c>
      <c r="B60" s="10" t="str">
        <f>'Raw List'!M1091</f>
        <v xml:space="preserve">PA </v>
      </c>
      <c r="C60" s="10" t="str">
        <f t="shared" si="0"/>
        <v>PA</v>
      </c>
      <c r="D60" s="12">
        <f>'Raw List'!N1091</f>
        <v>39.880000000000003</v>
      </c>
      <c r="E60" s="12">
        <f>-'Raw List'!O1091</f>
        <v>-75.25</v>
      </c>
    </row>
    <row r="61" spans="1:5" x14ac:dyDescent="0.2">
      <c r="A61" t="str">
        <f>'Raw List'!J1093</f>
        <v>Pittsburgh</v>
      </c>
      <c r="B61" s="10" t="str">
        <f>'Raw List'!M1093</f>
        <v xml:space="preserve">PA </v>
      </c>
      <c r="C61" s="10" t="str">
        <f t="shared" si="0"/>
        <v>PA</v>
      </c>
      <c r="D61" s="12">
        <f>'Raw List'!N1093</f>
        <v>40.35</v>
      </c>
      <c r="E61" s="12">
        <f>-'Raw List'!O1093</f>
        <v>-79.930000000000007</v>
      </c>
    </row>
    <row r="62" spans="1:5" x14ac:dyDescent="0.2">
      <c r="A62" t="str">
        <f>'Raw List'!J1106</f>
        <v>Providence</v>
      </c>
      <c r="B62" s="10" t="str">
        <f>'Raw List'!M1106</f>
        <v xml:space="preserve">RI </v>
      </c>
      <c r="C62" s="10" t="str">
        <f t="shared" ref="C62:C75" si="1">SUBSTITUTE(B62," ","")</f>
        <v>RI</v>
      </c>
      <c r="D62" s="12">
        <f>'Raw List'!N1106</f>
        <v>41.73</v>
      </c>
      <c r="E62" s="12">
        <f>-'Raw List'!O1106</f>
        <v>-71.430000000000007</v>
      </c>
    </row>
    <row r="63" spans="1:5" x14ac:dyDescent="0.2">
      <c r="A63" t="str">
        <f>'Raw List'!J1153</f>
        <v>Knoxville</v>
      </c>
      <c r="B63" s="10" t="str">
        <f>'Raw List'!M1153</f>
        <v xml:space="preserve">TN </v>
      </c>
      <c r="C63" s="10" t="str">
        <f t="shared" si="1"/>
        <v>TN</v>
      </c>
      <c r="D63" s="12">
        <f>'Raw List'!N1153</f>
        <v>35.82</v>
      </c>
      <c r="E63" s="12">
        <f>-'Raw List'!O1153</f>
        <v>-83.98</v>
      </c>
    </row>
    <row r="64" spans="1:5" x14ac:dyDescent="0.2">
      <c r="A64" s="13" t="s">
        <v>2269</v>
      </c>
      <c r="B64" s="10" t="str">
        <f>'Raw List'!M1154</f>
        <v>TN</v>
      </c>
      <c r="C64" s="10" t="str">
        <f t="shared" si="1"/>
        <v>TN</v>
      </c>
      <c r="D64" s="12">
        <f>'Raw List'!N1154</f>
        <v>35.049999999999997</v>
      </c>
      <c r="E64" s="12">
        <f>-'Raw List'!O1154</f>
        <v>-90</v>
      </c>
    </row>
    <row r="65" spans="1:5" x14ac:dyDescent="0.2">
      <c r="A65" t="str">
        <f>'Raw List'!J1157</f>
        <v>Nashville</v>
      </c>
      <c r="B65" s="10" t="str">
        <f>'Raw List'!M1157</f>
        <v xml:space="preserve">TN </v>
      </c>
      <c r="C65" s="10" t="str">
        <f t="shared" si="1"/>
        <v>TN</v>
      </c>
      <c r="D65" s="12">
        <f>'Raw List'!N1157</f>
        <v>36.119999999999997</v>
      </c>
      <c r="E65" s="12">
        <f>-'Raw List'!O1157</f>
        <v>-86.68</v>
      </c>
    </row>
    <row r="66" spans="1:5" x14ac:dyDescent="0.2">
      <c r="A66" t="str">
        <f>'Raw List'!J1165</f>
        <v>Austin</v>
      </c>
      <c r="B66" s="10" t="str">
        <f>'Raw List'!M1165</f>
        <v xml:space="preserve">TX </v>
      </c>
      <c r="C66" s="10" t="str">
        <f t="shared" si="1"/>
        <v>TX</v>
      </c>
      <c r="D66" s="12">
        <f>'Raw List'!N1165</f>
        <v>30.3</v>
      </c>
      <c r="E66" s="12">
        <f>-'Raw List'!O1165</f>
        <v>-97.7</v>
      </c>
    </row>
    <row r="67" spans="1:5" x14ac:dyDescent="0.2">
      <c r="A67" t="str">
        <f>'Raw List'!J1182</f>
        <v>Dallas/FW</v>
      </c>
      <c r="B67" s="10" t="str">
        <f>'Raw List'!M1182</f>
        <v xml:space="preserve">TX </v>
      </c>
      <c r="C67" s="10" t="str">
        <f t="shared" si="1"/>
        <v>TX</v>
      </c>
      <c r="D67" s="12">
        <f>'Raw List'!N1182</f>
        <v>32.9</v>
      </c>
      <c r="E67" s="12">
        <f>-'Raw List'!O1182</f>
        <v>-97.03</v>
      </c>
    </row>
    <row r="68" spans="1:5" x14ac:dyDescent="0.2">
      <c r="A68" t="str">
        <f>'Raw List'!J1197</f>
        <v>Houston</v>
      </c>
      <c r="B68" s="10" t="str">
        <f>'Raw List'!M1197</f>
        <v xml:space="preserve">TX </v>
      </c>
      <c r="C68" s="10" t="str">
        <f t="shared" si="1"/>
        <v>TX</v>
      </c>
      <c r="D68" s="12">
        <f>'Raw List'!N1197</f>
        <v>29.97</v>
      </c>
      <c r="E68" s="12">
        <f>-'Raw List'!O1197</f>
        <v>-95.35</v>
      </c>
    </row>
    <row r="69" spans="1:5" x14ac:dyDescent="0.2">
      <c r="A69" t="str">
        <f>'Raw List'!J1221</f>
        <v>San Antonio</v>
      </c>
      <c r="B69" s="10" t="str">
        <f>'Raw List'!M1221</f>
        <v xml:space="preserve">TX </v>
      </c>
      <c r="C69" s="10" t="str">
        <f t="shared" si="1"/>
        <v>TX</v>
      </c>
      <c r="D69" s="12">
        <f>'Raw List'!N1221</f>
        <v>29.53</v>
      </c>
      <c r="E69" s="12">
        <f>-'Raw List'!O1221</f>
        <v>-98.47</v>
      </c>
    </row>
    <row r="70" spans="1:5" x14ac:dyDescent="0.2">
      <c r="A70" t="str">
        <f>'Raw List'!J1253</f>
        <v xml:space="preserve">Salt Lake </v>
      </c>
      <c r="B70" s="14" t="s">
        <v>3876</v>
      </c>
      <c r="C70" s="10" t="str">
        <f t="shared" si="1"/>
        <v>UT</v>
      </c>
      <c r="D70" s="12">
        <f>'Raw List'!N1253</f>
        <v>40.78</v>
      </c>
      <c r="E70" s="12">
        <f>-'Raw List'!O1253</f>
        <v>-111.97</v>
      </c>
    </row>
    <row r="71" spans="1:5" x14ac:dyDescent="0.2">
      <c r="A71" t="str">
        <f>'Raw List'!J1282</f>
        <v>Richmond</v>
      </c>
      <c r="B71" s="10" t="str">
        <f>'Raw List'!M1282</f>
        <v xml:space="preserve">VA </v>
      </c>
      <c r="C71" s="10" t="str">
        <f t="shared" si="1"/>
        <v>VA</v>
      </c>
      <c r="D71" s="12">
        <f>'Raw List'!N1282</f>
        <v>37.5</v>
      </c>
      <c r="E71" s="12">
        <f>-'Raw List'!O1282</f>
        <v>-77.33</v>
      </c>
    </row>
    <row r="72" spans="1:5" x14ac:dyDescent="0.2">
      <c r="A72" t="str">
        <f>'Raw List'!J1290</f>
        <v>Bellingham</v>
      </c>
      <c r="B72" s="10" t="str">
        <f>'Raw List'!M1290</f>
        <v xml:space="preserve">WA </v>
      </c>
      <c r="C72" s="10" t="str">
        <f t="shared" si="1"/>
        <v>WA</v>
      </c>
      <c r="D72" s="12">
        <f>'Raw List'!N1290</f>
        <v>48.8</v>
      </c>
      <c r="E72" s="12">
        <f>-'Raw List'!O1290</f>
        <v>-122.53</v>
      </c>
    </row>
    <row r="73" spans="1:5" x14ac:dyDescent="0.2">
      <c r="A73" t="str">
        <f>'Raw List'!J1311</f>
        <v>Seattle</v>
      </c>
      <c r="B73" s="10" t="str">
        <f>'Raw List'!M1311</f>
        <v xml:space="preserve">WA </v>
      </c>
      <c r="C73" s="10" t="str">
        <f t="shared" si="1"/>
        <v>WA</v>
      </c>
      <c r="D73" s="12">
        <f>'Raw List'!N1311</f>
        <v>47.45</v>
      </c>
      <c r="E73" s="12">
        <f>-'Raw List'!O1311</f>
        <v>-122.3</v>
      </c>
    </row>
    <row r="74" spans="1:5" x14ac:dyDescent="0.2">
      <c r="A74" t="str">
        <f>'Raw List'!J1334</f>
        <v>Morgantown</v>
      </c>
      <c r="B74" s="10" t="str">
        <f>'Raw List'!M1334</f>
        <v xml:space="preserve">WV </v>
      </c>
      <c r="C74" s="10" t="str">
        <f t="shared" si="1"/>
        <v>WV</v>
      </c>
      <c r="D74" s="12">
        <f>'Raw List'!N1334</f>
        <v>39.65</v>
      </c>
      <c r="E74" s="12">
        <f>-'Raw List'!O1334</f>
        <v>-79.92</v>
      </c>
    </row>
    <row r="75" spans="1:5" x14ac:dyDescent="0.2">
      <c r="A75" t="str">
        <f>'Raw List'!J1350</f>
        <v>Milwaukee</v>
      </c>
      <c r="B75" s="10" t="str">
        <f>'Raw List'!M1350</f>
        <v xml:space="preserve">WI </v>
      </c>
      <c r="C75" s="10" t="str">
        <f t="shared" si="1"/>
        <v>WI</v>
      </c>
      <c r="D75" s="12">
        <f>'Raw List'!N1350</f>
        <v>43.12</v>
      </c>
      <c r="E75" s="12">
        <f>-'Raw List'!O1350</f>
        <v>-88.05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382"/>
  <sheetViews>
    <sheetView showGridLines="0" workbookViewId="0">
      <selection activeCell="A2" sqref="A2"/>
    </sheetView>
  </sheetViews>
  <sheetFormatPr defaultRowHeight="12.75" outlineLevelCol="1" x14ac:dyDescent="0.2"/>
  <cols>
    <col min="1" max="9" width="9.33203125" style="2"/>
    <col min="10" max="10" width="16.83203125" style="2" bestFit="1" customWidth="1"/>
    <col min="11" max="12" width="0" style="2" hidden="1" customWidth="1" outlineLevel="1"/>
    <col min="13" max="13" width="9.33203125" style="2" collapsed="1"/>
    <col min="14" max="16384" width="9.33203125" style="2"/>
  </cols>
  <sheetData>
    <row r="1" spans="1:15" x14ac:dyDescent="0.2">
      <c r="A1" s="1" t="s">
        <v>56</v>
      </c>
      <c r="B1" s="2" t="s">
        <v>57</v>
      </c>
      <c r="C1" s="2" t="s">
        <v>58</v>
      </c>
      <c r="D1" s="2" t="s">
        <v>59</v>
      </c>
    </row>
    <row r="2" spans="1:15" x14ac:dyDescent="0.2">
      <c r="A2" s="3" t="s">
        <v>2708</v>
      </c>
    </row>
    <row r="3" spans="1:15" x14ac:dyDescent="0.2">
      <c r="A3" s="1" t="s">
        <v>0</v>
      </c>
    </row>
    <row r="4" spans="1:15" x14ac:dyDescent="0.2">
      <c r="A4" s="4"/>
    </row>
    <row r="5" spans="1:15" x14ac:dyDescent="0.2">
      <c r="A5" s="4"/>
      <c r="J5" s="8" t="s">
        <v>2709</v>
      </c>
      <c r="K5" s="8" t="s">
        <v>2174</v>
      </c>
      <c r="L5" s="8"/>
      <c r="M5" s="8" t="s">
        <v>3858</v>
      </c>
      <c r="N5" s="8" t="s">
        <v>57</v>
      </c>
      <c r="O5" s="8" t="s">
        <v>58</v>
      </c>
    </row>
    <row r="6" spans="1:15" x14ac:dyDescent="0.2">
      <c r="A6" s="1" t="s">
        <v>60</v>
      </c>
      <c r="B6" s="2">
        <v>33.58</v>
      </c>
      <c r="C6" s="2">
        <v>85.85</v>
      </c>
      <c r="D6" s="2" t="s">
        <v>61</v>
      </c>
      <c r="H6" s="2" t="s">
        <v>2710</v>
      </c>
      <c r="J6" s="7" t="str">
        <f>LEFT(H6,LEN(H6)-5)</f>
        <v>Anniston</v>
      </c>
      <c r="K6" s="7" t="str">
        <f>RIGHT(H6,4)</f>
        <v xml:space="preserve">AL  </v>
      </c>
      <c r="L6" s="7" t="str">
        <f>LEFT(K6,LEN(K6)-1)</f>
        <v xml:space="preserve">AL </v>
      </c>
      <c r="M6" s="7" t="str">
        <f>SUBSTITUTE(L6,",","")</f>
        <v xml:space="preserve">AL </v>
      </c>
      <c r="N6" s="9">
        <f>B6</f>
        <v>33.58</v>
      </c>
      <c r="O6" s="9">
        <f>C6</f>
        <v>85.85</v>
      </c>
    </row>
    <row r="7" spans="1:15" x14ac:dyDescent="0.2">
      <c r="A7" s="1" t="s">
        <v>62</v>
      </c>
      <c r="B7" s="2">
        <v>32.67</v>
      </c>
      <c r="C7" s="2">
        <v>85.44</v>
      </c>
      <c r="D7" s="2" t="s">
        <v>63</v>
      </c>
      <c r="H7" s="2" t="s">
        <v>2711</v>
      </c>
      <c r="J7" s="7" t="str">
        <f t="shared" ref="J7:J21" si="0">LEFT(H7,LEN(H7)-5)</f>
        <v>Auburn</v>
      </c>
      <c r="K7" s="7" t="str">
        <f t="shared" ref="K7:K21" si="1">RIGHT(H7,4)</f>
        <v xml:space="preserve">AL  </v>
      </c>
      <c r="L7" s="7" t="str">
        <f t="shared" ref="L7:L21" si="2">LEFT(K7,LEN(K7)-1)</f>
        <v xml:space="preserve">AL </v>
      </c>
      <c r="M7" s="7" t="str">
        <f t="shared" ref="M7:M21" si="3">SUBSTITUTE(L7,",","")</f>
        <v xml:space="preserve">AL </v>
      </c>
      <c r="N7" s="9">
        <f t="shared" ref="N7:N21" si="4">B7</f>
        <v>32.67</v>
      </c>
      <c r="O7" s="9">
        <f t="shared" ref="O7:O21" si="5">C7</f>
        <v>85.44</v>
      </c>
    </row>
    <row r="8" spans="1:15" x14ac:dyDescent="0.2">
      <c r="A8" s="1" t="s">
        <v>64</v>
      </c>
      <c r="B8" s="2">
        <v>33.57</v>
      </c>
      <c r="C8" s="2">
        <v>86.75</v>
      </c>
      <c r="D8" s="2" t="s">
        <v>65</v>
      </c>
      <c r="H8" s="2" t="s">
        <v>2712</v>
      </c>
      <c r="J8" s="7" t="str">
        <f t="shared" si="0"/>
        <v>Birmingham</v>
      </c>
      <c r="K8" s="7" t="str">
        <f t="shared" si="1"/>
        <v xml:space="preserve">AL  </v>
      </c>
      <c r="L8" s="7" t="str">
        <f t="shared" si="2"/>
        <v xml:space="preserve">AL </v>
      </c>
      <c r="M8" s="7" t="str">
        <f t="shared" si="3"/>
        <v xml:space="preserve">AL </v>
      </c>
      <c r="N8" s="9">
        <f t="shared" si="4"/>
        <v>33.57</v>
      </c>
      <c r="O8" s="9">
        <f t="shared" si="5"/>
        <v>86.75</v>
      </c>
    </row>
    <row r="9" spans="1:15" x14ac:dyDescent="0.2">
      <c r="A9" s="1" t="s">
        <v>66</v>
      </c>
      <c r="B9" s="2">
        <v>32.9</v>
      </c>
      <c r="C9" s="2">
        <v>87.25</v>
      </c>
      <c r="D9" s="2" t="s">
        <v>67</v>
      </c>
      <c r="H9" s="2" t="s">
        <v>2713</v>
      </c>
      <c r="J9" s="7" t="str">
        <f t="shared" si="0"/>
        <v>Centreville</v>
      </c>
      <c r="K9" s="7" t="str">
        <f t="shared" si="1"/>
        <v xml:space="preserve">AL  </v>
      </c>
      <c r="L9" s="7" t="str">
        <f t="shared" si="2"/>
        <v xml:space="preserve">AL </v>
      </c>
      <c r="M9" s="7" t="str">
        <f t="shared" si="3"/>
        <v xml:space="preserve">AL </v>
      </c>
      <c r="N9" s="9">
        <f t="shared" si="4"/>
        <v>32.9</v>
      </c>
      <c r="O9" s="9">
        <f t="shared" si="5"/>
        <v>87.25</v>
      </c>
    </row>
    <row r="10" spans="1:15" x14ac:dyDescent="0.2">
      <c r="A10" s="1" t="s">
        <v>68</v>
      </c>
      <c r="B10" s="2">
        <v>31.32</v>
      </c>
      <c r="C10" s="2">
        <v>85.45</v>
      </c>
      <c r="D10" s="2" t="s">
        <v>69</v>
      </c>
      <c r="H10" s="2" t="s">
        <v>2714</v>
      </c>
      <c r="J10" s="7" t="str">
        <f t="shared" si="0"/>
        <v>Dothan</v>
      </c>
      <c r="K10" s="7" t="str">
        <f t="shared" si="1"/>
        <v xml:space="preserve">AL  </v>
      </c>
      <c r="L10" s="7" t="str">
        <f t="shared" si="2"/>
        <v xml:space="preserve">AL </v>
      </c>
      <c r="M10" s="7" t="str">
        <f t="shared" si="3"/>
        <v xml:space="preserve">AL </v>
      </c>
      <c r="N10" s="9">
        <f t="shared" si="4"/>
        <v>31.32</v>
      </c>
      <c r="O10" s="9">
        <f t="shared" si="5"/>
        <v>85.45</v>
      </c>
    </row>
    <row r="11" spans="1:15" x14ac:dyDescent="0.2">
      <c r="A11" s="1" t="s">
        <v>70</v>
      </c>
      <c r="B11" s="2">
        <v>31.28</v>
      </c>
      <c r="C11" s="2">
        <v>85.72</v>
      </c>
      <c r="D11" s="2" t="s">
        <v>71</v>
      </c>
      <c r="E11" s="2" t="s">
        <v>72</v>
      </c>
      <c r="H11" s="2" t="s">
        <v>2715</v>
      </c>
      <c r="J11" s="7" t="str">
        <f t="shared" si="0"/>
        <v>Fort Rucke</v>
      </c>
      <c r="K11" s="7" t="str">
        <f t="shared" si="1"/>
        <v xml:space="preserve">,AL </v>
      </c>
      <c r="L11" s="7" t="str">
        <f t="shared" si="2"/>
        <v>,AL</v>
      </c>
      <c r="M11" s="7" t="str">
        <f t="shared" si="3"/>
        <v>AL</v>
      </c>
      <c r="N11" s="9">
        <f t="shared" si="4"/>
        <v>31.28</v>
      </c>
      <c r="O11" s="9">
        <f t="shared" si="5"/>
        <v>85.72</v>
      </c>
    </row>
    <row r="12" spans="1:15" x14ac:dyDescent="0.2">
      <c r="A12" s="1" t="s">
        <v>73</v>
      </c>
      <c r="B12" s="2">
        <v>33.97</v>
      </c>
      <c r="C12" s="2">
        <v>86.09</v>
      </c>
      <c r="D12" s="2" t="s">
        <v>74</v>
      </c>
      <c r="H12" s="2" t="s">
        <v>2716</v>
      </c>
      <c r="J12" s="7" t="str">
        <f t="shared" si="0"/>
        <v>Gadsden</v>
      </c>
      <c r="K12" s="7" t="str">
        <f t="shared" si="1"/>
        <v xml:space="preserve">AL  </v>
      </c>
      <c r="L12" s="7" t="str">
        <f t="shared" si="2"/>
        <v xml:space="preserve">AL </v>
      </c>
      <c r="M12" s="7" t="str">
        <f t="shared" si="3"/>
        <v xml:space="preserve">AL </v>
      </c>
      <c r="N12" s="9">
        <f t="shared" si="4"/>
        <v>33.97</v>
      </c>
      <c r="O12" s="9">
        <f t="shared" si="5"/>
        <v>86.09</v>
      </c>
    </row>
    <row r="13" spans="1:15" x14ac:dyDescent="0.2">
      <c r="A13" s="1" t="s">
        <v>75</v>
      </c>
      <c r="B13" s="2">
        <v>34.65</v>
      </c>
      <c r="C13" s="2">
        <v>86.77</v>
      </c>
      <c r="D13" s="2" t="s">
        <v>76</v>
      </c>
      <c r="H13" s="2" t="s">
        <v>2717</v>
      </c>
      <c r="J13" s="7" t="str">
        <f t="shared" si="0"/>
        <v>Huntsville</v>
      </c>
      <c r="K13" s="7" t="str">
        <f t="shared" si="1"/>
        <v xml:space="preserve">AL  </v>
      </c>
      <c r="L13" s="7" t="str">
        <f t="shared" si="2"/>
        <v xml:space="preserve">AL </v>
      </c>
      <c r="M13" s="7" t="str">
        <f t="shared" si="3"/>
        <v xml:space="preserve">AL </v>
      </c>
      <c r="N13" s="9">
        <f t="shared" si="4"/>
        <v>34.65</v>
      </c>
      <c r="O13" s="9">
        <f t="shared" si="5"/>
        <v>86.77</v>
      </c>
    </row>
    <row r="14" spans="1:15" x14ac:dyDescent="0.2">
      <c r="A14" s="1" t="s">
        <v>77</v>
      </c>
      <c r="B14" s="2">
        <v>32.380000000000003</v>
      </c>
      <c r="C14" s="2">
        <v>86.37</v>
      </c>
      <c r="D14" s="2" t="s">
        <v>78</v>
      </c>
      <c r="E14" s="2" t="s">
        <v>79</v>
      </c>
      <c r="H14" s="2" t="s">
        <v>2718</v>
      </c>
      <c r="J14" s="7" t="str">
        <f t="shared" si="0"/>
        <v>Maxwell AF</v>
      </c>
      <c r="K14" s="7" t="str">
        <f t="shared" si="1"/>
        <v xml:space="preserve">,AL </v>
      </c>
      <c r="L14" s="7" t="str">
        <f t="shared" si="2"/>
        <v>,AL</v>
      </c>
      <c r="M14" s="7" t="str">
        <f t="shared" si="3"/>
        <v>AL</v>
      </c>
      <c r="N14" s="9">
        <f t="shared" si="4"/>
        <v>32.380000000000003</v>
      </c>
      <c r="O14" s="9">
        <f t="shared" si="5"/>
        <v>86.37</v>
      </c>
    </row>
    <row r="15" spans="1:15" x14ac:dyDescent="0.2">
      <c r="A15" s="1" t="s">
        <v>80</v>
      </c>
      <c r="B15" s="2">
        <v>30.68</v>
      </c>
      <c r="C15" s="2">
        <v>88.25</v>
      </c>
      <c r="D15" s="2" t="s">
        <v>81</v>
      </c>
      <c r="H15" s="2" t="s">
        <v>2719</v>
      </c>
      <c r="J15" s="7" t="str">
        <f t="shared" si="0"/>
        <v>Mobile</v>
      </c>
      <c r="K15" s="7" t="str">
        <f t="shared" si="1"/>
        <v xml:space="preserve">AL  </v>
      </c>
      <c r="L15" s="7" t="str">
        <f t="shared" si="2"/>
        <v xml:space="preserve">AL </v>
      </c>
      <c r="M15" s="7" t="str">
        <f t="shared" si="3"/>
        <v xml:space="preserve">AL </v>
      </c>
      <c r="N15" s="9">
        <f t="shared" si="4"/>
        <v>30.68</v>
      </c>
      <c r="O15" s="9">
        <f t="shared" si="5"/>
        <v>88.25</v>
      </c>
    </row>
    <row r="16" spans="1:15" x14ac:dyDescent="0.2">
      <c r="A16" s="1" t="s">
        <v>82</v>
      </c>
      <c r="B16" s="2">
        <v>30.63</v>
      </c>
      <c r="C16" s="2">
        <v>88.07</v>
      </c>
      <c r="D16" s="2" t="s">
        <v>83</v>
      </c>
      <c r="E16" s="2" t="s">
        <v>84</v>
      </c>
      <c r="H16" s="2" t="s">
        <v>2720</v>
      </c>
      <c r="J16" s="7" t="str">
        <f t="shared" si="0"/>
        <v>Mobile Aero</v>
      </c>
      <c r="K16" s="7" t="str">
        <f t="shared" si="1"/>
        <v xml:space="preserve">,AL </v>
      </c>
      <c r="L16" s="7" t="str">
        <f t="shared" si="2"/>
        <v>,AL</v>
      </c>
      <c r="M16" s="7" t="str">
        <f t="shared" si="3"/>
        <v>AL</v>
      </c>
      <c r="N16" s="9">
        <f t="shared" si="4"/>
        <v>30.63</v>
      </c>
      <c r="O16" s="9">
        <f t="shared" si="5"/>
        <v>88.07</v>
      </c>
    </row>
    <row r="17" spans="1:15" x14ac:dyDescent="0.2">
      <c r="A17" s="1" t="s">
        <v>85</v>
      </c>
      <c r="B17" s="2">
        <v>32.299999999999997</v>
      </c>
      <c r="C17" s="2">
        <v>86.4</v>
      </c>
      <c r="D17" s="2" t="s">
        <v>86</v>
      </c>
      <c r="H17" s="2" t="s">
        <v>2721</v>
      </c>
      <c r="J17" s="7" t="str">
        <f t="shared" si="0"/>
        <v>Montgomery</v>
      </c>
      <c r="K17" s="7" t="str">
        <f t="shared" si="1"/>
        <v xml:space="preserve">AL  </v>
      </c>
      <c r="L17" s="7" t="str">
        <f t="shared" si="2"/>
        <v xml:space="preserve">AL </v>
      </c>
      <c r="M17" s="7" t="str">
        <f t="shared" si="3"/>
        <v xml:space="preserve">AL </v>
      </c>
      <c r="N17" s="9">
        <f t="shared" si="4"/>
        <v>32.299999999999997</v>
      </c>
      <c r="O17" s="9">
        <f t="shared" si="5"/>
        <v>86.4</v>
      </c>
    </row>
    <row r="18" spans="1:15" x14ac:dyDescent="0.2">
      <c r="A18" s="1" t="s">
        <v>87</v>
      </c>
      <c r="B18" s="2">
        <v>34.75</v>
      </c>
      <c r="C18" s="2">
        <v>87.62</v>
      </c>
      <c r="D18" s="2" t="s">
        <v>88</v>
      </c>
      <c r="E18" s="2" t="s">
        <v>89</v>
      </c>
      <c r="H18" s="2" t="s">
        <v>2722</v>
      </c>
      <c r="J18" s="7" t="str">
        <f t="shared" si="0"/>
        <v>Muscle Shoa</v>
      </c>
      <c r="K18" s="7" t="str">
        <f t="shared" si="1"/>
        <v xml:space="preserve">,AL </v>
      </c>
      <c r="L18" s="7" t="str">
        <f t="shared" si="2"/>
        <v>,AL</v>
      </c>
      <c r="M18" s="7" t="str">
        <f t="shared" si="3"/>
        <v>AL</v>
      </c>
      <c r="N18" s="9">
        <f t="shared" si="4"/>
        <v>34.75</v>
      </c>
      <c r="O18" s="9">
        <f t="shared" si="5"/>
        <v>87.62</v>
      </c>
    </row>
    <row r="19" spans="1:15" x14ac:dyDescent="0.2">
      <c r="A19" s="1" t="s">
        <v>90</v>
      </c>
      <c r="B19" s="2">
        <v>32.340000000000003</v>
      </c>
      <c r="C19" s="2">
        <v>86.99</v>
      </c>
      <c r="D19" s="2" t="s">
        <v>91</v>
      </c>
      <c r="H19" s="2" t="s">
        <v>2723</v>
      </c>
      <c r="J19" s="7" t="str">
        <f t="shared" si="0"/>
        <v>Selma</v>
      </c>
      <c r="K19" s="7" t="str">
        <f t="shared" si="1"/>
        <v xml:space="preserve">AL  </v>
      </c>
      <c r="L19" s="7" t="str">
        <f t="shared" si="2"/>
        <v xml:space="preserve">AL </v>
      </c>
      <c r="M19" s="7" t="str">
        <f t="shared" si="3"/>
        <v xml:space="preserve">AL </v>
      </c>
      <c r="N19" s="9">
        <f t="shared" si="4"/>
        <v>32.340000000000003</v>
      </c>
      <c r="O19" s="9">
        <f t="shared" si="5"/>
        <v>86.99</v>
      </c>
    </row>
    <row r="20" spans="1:15" x14ac:dyDescent="0.2">
      <c r="A20" s="1" t="s">
        <v>92</v>
      </c>
      <c r="B20" s="2">
        <v>31.87</v>
      </c>
      <c r="C20" s="2">
        <v>86.02</v>
      </c>
      <c r="D20" s="2" t="s">
        <v>93</v>
      </c>
      <c r="H20" s="2" t="s">
        <v>2724</v>
      </c>
      <c r="J20" s="7" t="str">
        <f t="shared" si="0"/>
        <v>Troy</v>
      </c>
      <c r="K20" s="7" t="str">
        <f t="shared" si="1"/>
        <v xml:space="preserve">AL  </v>
      </c>
      <c r="L20" s="7" t="str">
        <f t="shared" si="2"/>
        <v xml:space="preserve">AL </v>
      </c>
      <c r="M20" s="7" t="str">
        <f t="shared" si="3"/>
        <v xml:space="preserve">AL </v>
      </c>
      <c r="N20" s="9">
        <f t="shared" si="4"/>
        <v>31.87</v>
      </c>
      <c r="O20" s="9">
        <f t="shared" si="5"/>
        <v>86.02</v>
      </c>
    </row>
    <row r="21" spans="1:15" x14ac:dyDescent="0.2">
      <c r="A21" s="1" t="s">
        <v>94</v>
      </c>
      <c r="B21" s="2">
        <v>33.229999999999997</v>
      </c>
      <c r="C21" s="2">
        <v>87.62</v>
      </c>
      <c r="D21" s="2" t="s">
        <v>95</v>
      </c>
      <c r="H21" s="2" t="s">
        <v>2725</v>
      </c>
      <c r="J21" s="7" t="str">
        <f t="shared" si="0"/>
        <v>Tuscaloosa</v>
      </c>
      <c r="K21" s="7" t="str">
        <f t="shared" si="1"/>
        <v xml:space="preserve">AL  </v>
      </c>
      <c r="L21" s="7" t="str">
        <f t="shared" si="2"/>
        <v xml:space="preserve">AL </v>
      </c>
      <c r="M21" s="7" t="str">
        <f t="shared" si="3"/>
        <v xml:space="preserve">AL </v>
      </c>
      <c r="N21" s="9">
        <f t="shared" si="4"/>
        <v>33.229999999999997</v>
      </c>
      <c r="O21" s="9">
        <f t="shared" si="5"/>
        <v>87.62</v>
      </c>
    </row>
    <row r="22" spans="1:15" x14ac:dyDescent="0.2">
      <c r="A22" s="4"/>
      <c r="H22" s="2" t="s">
        <v>2726</v>
      </c>
      <c r="J22" s="7"/>
      <c r="K22" s="7"/>
      <c r="L22" s="7"/>
      <c r="M22" s="7"/>
      <c r="N22" s="9"/>
      <c r="O22" s="9"/>
    </row>
    <row r="23" spans="1:15" x14ac:dyDescent="0.2">
      <c r="A23" s="1" t="s">
        <v>1</v>
      </c>
      <c r="H23" s="2" t="s">
        <v>2726</v>
      </c>
      <c r="J23" s="7"/>
      <c r="K23" s="7"/>
      <c r="L23" s="7"/>
      <c r="M23" s="7"/>
      <c r="N23" s="9"/>
      <c r="O23" s="9"/>
    </row>
    <row r="24" spans="1:15" x14ac:dyDescent="0.2">
      <c r="A24" s="4"/>
      <c r="H24" s="2" t="s">
        <v>2726</v>
      </c>
      <c r="J24" s="7"/>
      <c r="K24" s="7"/>
      <c r="L24" s="7"/>
      <c r="M24" s="7"/>
      <c r="N24" s="9"/>
      <c r="O24" s="9"/>
    </row>
    <row r="25" spans="1:15" x14ac:dyDescent="0.2">
      <c r="A25" s="4"/>
      <c r="H25" s="2" t="s">
        <v>2726</v>
      </c>
      <c r="J25" s="7"/>
      <c r="K25" s="7"/>
      <c r="L25" s="7"/>
      <c r="M25" s="7"/>
      <c r="N25" s="9"/>
      <c r="O25" s="9"/>
    </row>
    <row r="26" spans="1:15" x14ac:dyDescent="0.2">
      <c r="A26" s="1" t="s">
        <v>96</v>
      </c>
      <c r="B26" s="2">
        <v>51.88</v>
      </c>
      <c r="C26" s="2">
        <v>176.65</v>
      </c>
      <c r="D26" s="2" t="s">
        <v>97</v>
      </c>
      <c r="H26" s="2" t="s">
        <v>2727</v>
      </c>
      <c r="J26" s="7" t="str">
        <f t="shared" ref="J26:J85" si="6">LEFT(H26,LEN(H26)-5)</f>
        <v>Adak</v>
      </c>
      <c r="K26" s="7" t="str">
        <f t="shared" ref="K26:K85" si="7">RIGHT(H26,4)</f>
        <v xml:space="preserve">AK  </v>
      </c>
      <c r="L26" s="7" t="str">
        <f t="shared" ref="L26:L89" si="8">LEFT(K26,LEN(K26)-1)</f>
        <v xml:space="preserve">AK </v>
      </c>
      <c r="M26" s="7" t="str">
        <f t="shared" ref="M26:M89" si="9">SUBSTITUTE(L26,",","")</f>
        <v xml:space="preserve">AK </v>
      </c>
      <c r="N26" s="9">
        <f t="shared" ref="N26:N57" si="10">B26</f>
        <v>51.88</v>
      </c>
      <c r="O26" s="9">
        <f t="shared" ref="O26:O57" si="11">C26</f>
        <v>176.65</v>
      </c>
    </row>
    <row r="27" spans="1:15" x14ac:dyDescent="0.2">
      <c r="A27" s="1" t="s">
        <v>98</v>
      </c>
      <c r="B27" s="2">
        <v>67.099999999999994</v>
      </c>
      <c r="C27" s="2">
        <v>157.85</v>
      </c>
      <c r="D27" s="2" t="s">
        <v>99</v>
      </c>
      <c r="H27" s="2" t="s">
        <v>2728</v>
      </c>
      <c r="J27" s="7" t="str">
        <f t="shared" si="6"/>
        <v>Ambler</v>
      </c>
      <c r="K27" s="7" t="str">
        <f t="shared" si="7"/>
        <v xml:space="preserve">AK  </v>
      </c>
      <c r="L27" s="7" t="str">
        <f t="shared" si="8"/>
        <v xml:space="preserve">AK </v>
      </c>
      <c r="M27" s="7" t="str">
        <f t="shared" si="9"/>
        <v xml:space="preserve">AK </v>
      </c>
      <c r="N27" s="9">
        <f t="shared" si="10"/>
        <v>67.099999999999994</v>
      </c>
      <c r="O27" s="9">
        <f t="shared" si="11"/>
        <v>157.85</v>
      </c>
    </row>
    <row r="28" spans="1:15" x14ac:dyDescent="0.2">
      <c r="A28" s="1" t="s">
        <v>100</v>
      </c>
      <c r="B28" s="2">
        <v>61.17</v>
      </c>
      <c r="C28" s="2">
        <v>150.02000000000001</v>
      </c>
      <c r="D28" s="2" t="s">
        <v>101</v>
      </c>
      <c r="H28" s="2" t="s">
        <v>2729</v>
      </c>
      <c r="J28" s="7" t="str">
        <f t="shared" si="6"/>
        <v>Anchorage</v>
      </c>
      <c r="K28" s="7" t="str">
        <f t="shared" si="7"/>
        <v xml:space="preserve">AK  </v>
      </c>
      <c r="L28" s="7" t="str">
        <f t="shared" si="8"/>
        <v xml:space="preserve">AK </v>
      </c>
      <c r="M28" s="7" t="str">
        <f t="shared" si="9"/>
        <v xml:space="preserve">AK </v>
      </c>
      <c r="N28" s="9">
        <f t="shared" si="10"/>
        <v>61.17</v>
      </c>
      <c r="O28" s="9">
        <f t="shared" si="11"/>
        <v>150.02000000000001</v>
      </c>
    </row>
    <row r="29" spans="1:15" x14ac:dyDescent="0.2">
      <c r="A29" s="1" t="s">
        <v>102</v>
      </c>
      <c r="B29" s="2">
        <v>61.22</v>
      </c>
      <c r="C29" s="2">
        <v>149.85</v>
      </c>
      <c r="D29" s="2" t="s">
        <v>101</v>
      </c>
      <c r="H29" s="2" t="s">
        <v>2729</v>
      </c>
      <c r="J29" s="7" t="str">
        <f t="shared" si="6"/>
        <v>Anchorage</v>
      </c>
      <c r="K29" s="7" t="str">
        <f t="shared" si="7"/>
        <v xml:space="preserve">AK  </v>
      </c>
      <c r="L29" s="7" t="str">
        <f t="shared" si="8"/>
        <v xml:space="preserve">AK </v>
      </c>
      <c r="M29" s="7" t="str">
        <f t="shared" si="9"/>
        <v xml:space="preserve">AK </v>
      </c>
      <c r="N29" s="9">
        <f t="shared" si="10"/>
        <v>61.22</v>
      </c>
      <c r="O29" s="9">
        <f t="shared" si="11"/>
        <v>149.85</v>
      </c>
    </row>
    <row r="30" spans="1:15" x14ac:dyDescent="0.2">
      <c r="A30" s="1" t="s">
        <v>103</v>
      </c>
      <c r="B30" s="2">
        <v>57.83</v>
      </c>
      <c r="C30" s="2">
        <v>134.97</v>
      </c>
      <c r="D30" s="2" t="s">
        <v>104</v>
      </c>
      <c r="H30" s="2" t="s">
        <v>2730</v>
      </c>
      <c r="J30" s="7" t="str">
        <f t="shared" si="6"/>
        <v>Angoon</v>
      </c>
      <c r="K30" s="7" t="str">
        <f t="shared" si="7"/>
        <v xml:space="preserve">AK  </v>
      </c>
      <c r="L30" s="7" t="str">
        <f t="shared" si="8"/>
        <v xml:space="preserve">AK </v>
      </c>
      <c r="M30" s="7" t="str">
        <f t="shared" si="9"/>
        <v xml:space="preserve">AK </v>
      </c>
      <c r="N30" s="9">
        <f t="shared" si="10"/>
        <v>57.83</v>
      </c>
      <c r="O30" s="9">
        <f t="shared" si="11"/>
        <v>134.97</v>
      </c>
    </row>
    <row r="31" spans="1:15" x14ac:dyDescent="0.2">
      <c r="A31" s="1" t="s">
        <v>105</v>
      </c>
      <c r="B31" s="2">
        <v>61.58</v>
      </c>
      <c r="C31" s="2">
        <v>159.53</v>
      </c>
      <c r="D31" s="2" t="s">
        <v>106</v>
      </c>
      <c r="H31" s="2" t="s">
        <v>2731</v>
      </c>
      <c r="J31" s="7" t="str">
        <f t="shared" si="6"/>
        <v>Aniak</v>
      </c>
      <c r="K31" s="7" t="str">
        <f t="shared" si="7"/>
        <v xml:space="preserve">AK  </v>
      </c>
      <c r="L31" s="7" t="str">
        <f t="shared" si="8"/>
        <v xml:space="preserve">AK </v>
      </c>
      <c r="M31" s="7" t="str">
        <f t="shared" si="9"/>
        <v xml:space="preserve">AK </v>
      </c>
      <c r="N31" s="9">
        <f t="shared" si="10"/>
        <v>61.58</v>
      </c>
      <c r="O31" s="9">
        <f t="shared" si="11"/>
        <v>159.53</v>
      </c>
    </row>
    <row r="32" spans="1:15" x14ac:dyDescent="0.2">
      <c r="A32" s="1" t="s">
        <v>107</v>
      </c>
      <c r="B32" s="2">
        <v>55.03</v>
      </c>
      <c r="C32" s="2">
        <v>131.57</v>
      </c>
      <c r="D32" s="2" t="s">
        <v>108</v>
      </c>
      <c r="E32" s="2" t="s">
        <v>109</v>
      </c>
      <c r="H32" s="2" t="s">
        <v>2732</v>
      </c>
      <c r="J32" s="7" t="str">
        <f t="shared" si="6"/>
        <v>Annette Is</v>
      </c>
      <c r="K32" s="7" t="str">
        <f t="shared" si="7"/>
        <v xml:space="preserve">,AK </v>
      </c>
      <c r="L32" s="7" t="str">
        <f t="shared" si="8"/>
        <v>,AK</v>
      </c>
      <c r="M32" s="7" t="str">
        <f t="shared" si="9"/>
        <v>AK</v>
      </c>
      <c r="N32" s="9">
        <f t="shared" si="10"/>
        <v>55.03</v>
      </c>
      <c r="O32" s="9">
        <f t="shared" si="11"/>
        <v>131.57</v>
      </c>
    </row>
    <row r="33" spans="1:15" x14ac:dyDescent="0.2">
      <c r="A33" s="1" t="s">
        <v>110</v>
      </c>
      <c r="B33" s="2">
        <v>53.5</v>
      </c>
      <c r="C33" s="2">
        <v>173.3</v>
      </c>
      <c r="D33" s="2" t="s">
        <v>111</v>
      </c>
      <c r="H33" s="2" t="s">
        <v>2733</v>
      </c>
      <c r="J33" s="7" t="str">
        <f t="shared" si="6"/>
        <v>Attu</v>
      </c>
      <c r="K33" s="7" t="str">
        <f t="shared" si="7"/>
        <v xml:space="preserve">AK  </v>
      </c>
      <c r="L33" s="7" t="str">
        <f t="shared" si="8"/>
        <v xml:space="preserve">AK </v>
      </c>
      <c r="M33" s="7" t="str">
        <f t="shared" si="9"/>
        <v xml:space="preserve">AK </v>
      </c>
      <c r="N33" s="9">
        <f t="shared" si="10"/>
        <v>53.5</v>
      </c>
      <c r="O33" s="9">
        <f t="shared" si="11"/>
        <v>173.3</v>
      </c>
    </row>
    <row r="34" spans="1:15" x14ac:dyDescent="0.2">
      <c r="A34" s="1" t="s">
        <v>112</v>
      </c>
      <c r="B34" s="2">
        <v>71.3</v>
      </c>
      <c r="C34" s="2">
        <v>156.78</v>
      </c>
      <c r="D34" s="2" t="s">
        <v>113</v>
      </c>
      <c r="H34" s="2" t="s">
        <v>2734</v>
      </c>
      <c r="J34" s="7" t="str">
        <f t="shared" si="6"/>
        <v>Barrow</v>
      </c>
      <c r="K34" s="7" t="str">
        <f t="shared" si="7"/>
        <v xml:space="preserve">AK  </v>
      </c>
      <c r="L34" s="7" t="str">
        <f t="shared" si="8"/>
        <v xml:space="preserve">AK </v>
      </c>
      <c r="M34" s="7" t="str">
        <f t="shared" si="9"/>
        <v xml:space="preserve">AK </v>
      </c>
      <c r="N34" s="9">
        <f t="shared" si="10"/>
        <v>71.3</v>
      </c>
      <c r="O34" s="9">
        <f t="shared" si="11"/>
        <v>156.78</v>
      </c>
    </row>
    <row r="35" spans="1:15" x14ac:dyDescent="0.2">
      <c r="A35" s="1" t="s">
        <v>114</v>
      </c>
      <c r="B35" s="2">
        <v>70.13</v>
      </c>
      <c r="C35" s="2">
        <v>143.63</v>
      </c>
      <c r="D35" s="2" t="s">
        <v>115</v>
      </c>
      <c r="E35" s="2" t="s">
        <v>116</v>
      </c>
      <c r="H35" s="2" t="s">
        <v>2735</v>
      </c>
      <c r="J35" s="7" t="str">
        <f t="shared" si="6"/>
        <v>Barter Isla</v>
      </c>
      <c r="K35" s="7" t="str">
        <f t="shared" si="7"/>
        <v xml:space="preserve">,AK </v>
      </c>
      <c r="L35" s="7" t="str">
        <f t="shared" si="8"/>
        <v>,AK</v>
      </c>
      <c r="M35" s="7" t="str">
        <f t="shared" si="9"/>
        <v>AK</v>
      </c>
      <c r="N35" s="9">
        <f t="shared" si="10"/>
        <v>70.13</v>
      </c>
      <c r="O35" s="9">
        <f t="shared" si="11"/>
        <v>143.63</v>
      </c>
    </row>
    <row r="36" spans="1:15" x14ac:dyDescent="0.2">
      <c r="A36" s="1" t="s">
        <v>117</v>
      </c>
      <c r="B36" s="2">
        <v>60.78</v>
      </c>
      <c r="C36" s="2">
        <v>161.80000000000001</v>
      </c>
      <c r="D36" s="2" t="s">
        <v>118</v>
      </c>
      <c r="E36" s="2" t="s">
        <v>119</v>
      </c>
      <c r="H36" s="2" t="s">
        <v>2736</v>
      </c>
      <c r="J36" s="7" t="str">
        <f t="shared" si="6"/>
        <v>Bethel Arp</v>
      </c>
      <c r="K36" s="7" t="str">
        <f t="shared" si="7"/>
        <v xml:space="preserve">,AK </v>
      </c>
      <c r="L36" s="7" t="str">
        <f t="shared" si="8"/>
        <v>,AK</v>
      </c>
      <c r="M36" s="7" t="str">
        <f t="shared" si="9"/>
        <v>AK</v>
      </c>
      <c r="N36" s="9">
        <f t="shared" si="10"/>
        <v>60.78</v>
      </c>
      <c r="O36" s="9">
        <f t="shared" si="11"/>
        <v>161.80000000000001</v>
      </c>
    </row>
    <row r="37" spans="1:15" x14ac:dyDescent="0.2">
      <c r="A37" s="1" t="s">
        <v>120</v>
      </c>
      <c r="B37" s="2">
        <v>66.92</v>
      </c>
      <c r="C37" s="2">
        <v>151.52000000000001</v>
      </c>
      <c r="D37" s="2" t="s">
        <v>121</v>
      </c>
      <c r="H37" s="2" t="s">
        <v>2737</v>
      </c>
      <c r="J37" s="7" t="str">
        <f t="shared" si="6"/>
        <v>Bettles</v>
      </c>
      <c r="K37" s="7" t="str">
        <f t="shared" si="7"/>
        <v xml:space="preserve">AK  </v>
      </c>
      <c r="L37" s="7" t="str">
        <f t="shared" si="8"/>
        <v xml:space="preserve">AK </v>
      </c>
      <c r="M37" s="7" t="str">
        <f t="shared" si="9"/>
        <v xml:space="preserve">AK </v>
      </c>
      <c r="N37" s="9">
        <f t="shared" si="10"/>
        <v>66.92</v>
      </c>
      <c r="O37" s="9">
        <f t="shared" si="11"/>
        <v>151.52000000000001</v>
      </c>
    </row>
    <row r="38" spans="1:15" x14ac:dyDescent="0.2">
      <c r="A38" s="1" t="s">
        <v>122</v>
      </c>
      <c r="B38" s="2">
        <v>64</v>
      </c>
      <c r="C38" s="2">
        <v>145.72999999999999</v>
      </c>
      <c r="D38" s="2" t="s">
        <v>123</v>
      </c>
      <c r="E38" s="2" t="s">
        <v>124</v>
      </c>
      <c r="H38" s="2" t="s">
        <v>2738</v>
      </c>
      <c r="J38" s="7" t="str">
        <f t="shared" si="6"/>
        <v>Big Delt</v>
      </c>
      <c r="K38" s="7" t="str">
        <f t="shared" si="7"/>
        <v xml:space="preserve">,AK </v>
      </c>
      <c r="L38" s="7" t="str">
        <f t="shared" si="8"/>
        <v>,AK</v>
      </c>
      <c r="M38" s="7" t="str">
        <f t="shared" si="9"/>
        <v>AK</v>
      </c>
      <c r="N38" s="9">
        <f t="shared" si="10"/>
        <v>64</v>
      </c>
      <c r="O38" s="9">
        <f t="shared" si="11"/>
        <v>145.72999999999999</v>
      </c>
    </row>
    <row r="39" spans="1:15" x14ac:dyDescent="0.2">
      <c r="A39" s="1" t="s">
        <v>125</v>
      </c>
      <c r="B39" s="2">
        <v>60.82</v>
      </c>
      <c r="C39" s="2">
        <v>152.30000000000001</v>
      </c>
      <c r="D39" s="2" t="s">
        <v>123</v>
      </c>
      <c r="E39" s="2" t="s">
        <v>126</v>
      </c>
      <c r="F39" s="2" t="s">
        <v>127</v>
      </c>
      <c r="H39" s="2" t="s">
        <v>2739</v>
      </c>
      <c r="J39" s="7" t="str">
        <f t="shared" si="6"/>
        <v xml:space="preserve">Big River </v>
      </c>
      <c r="K39" s="7" t="str">
        <f t="shared" si="7"/>
        <v>k,AK</v>
      </c>
      <c r="L39" s="7" t="str">
        <f t="shared" si="8"/>
        <v>k,A</v>
      </c>
      <c r="M39" s="7" t="str">
        <f t="shared" si="9"/>
        <v>kA</v>
      </c>
      <c r="N39" s="9">
        <f t="shared" si="10"/>
        <v>60.82</v>
      </c>
      <c r="O39" s="9">
        <f t="shared" si="11"/>
        <v>152.30000000000001</v>
      </c>
    </row>
    <row r="40" spans="1:15" x14ac:dyDescent="0.2">
      <c r="A40" s="1" t="s">
        <v>128</v>
      </c>
      <c r="B40" s="2">
        <v>63.38</v>
      </c>
      <c r="C40" s="2">
        <v>148.94999999999999</v>
      </c>
      <c r="D40" s="2" t="s">
        <v>129</v>
      </c>
      <c r="H40" s="2" t="s">
        <v>2740</v>
      </c>
      <c r="J40" s="7" t="str">
        <f t="shared" si="6"/>
        <v>Cantwell</v>
      </c>
      <c r="K40" s="7" t="str">
        <f t="shared" si="7"/>
        <v xml:space="preserve">AK  </v>
      </c>
      <c r="L40" s="7" t="str">
        <f t="shared" si="8"/>
        <v xml:space="preserve">AK </v>
      </c>
      <c r="M40" s="7" t="str">
        <f t="shared" si="9"/>
        <v xml:space="preserve">AK </v>
      </c>
      <c r="N40" s="9">
        <f t="shared" si="10"/>
        <v>63.38</v>
      </c>
      <c r="O40" s="9">
        <f t="shared" si="11"/>
        <v>148.94999999999999</v>
      </c>
    </row>
    <row r="41" spans="1:15" x14ac:dyDescent="0.2">
      <c r="A41" s="1" t="s">
        <v>130</v>
      </c>
      <c r="B41" s="2">
        <v>56</v>
      </c>
      <c r="C41" s="2">
        <v>134.22</v>
      </c>
      <c r="D41" s="2" t="s">
        <v>131</v>
      </c>
      <c r="E41" s="2" t="s">
        <v>132</v>
      </c>
      <c r="H41" s="2" t="s">
        <v>2741</v>
      </c>
      <c r="J41" s="7" t="str">
        <f t="shared" si="6"/>
        <v>Cape Deci</v>
      </c>
      <c r="K41" s="7" t="str">
        <f t="shared" si="7"/>
        <v xml:space="preserve">,AK </v>
      </c>
      <c r="L41" s="7" t="str">
        <f t="shared" si="8"/>
        <v>,AK</v>
      </c>
      <c r="M41" s="7" t="str">
        <f t="shared" si="9"/>
        <v>AK</v>
      </c>
      <c r="N41" s="9">
        <f t="shared" si="10"/>
        <v>56</v>
      </c>
      <c r="O41" s="9">
        <f t="shared" si="11"/>
        <v>134.22</v>
      </c>
    </row>
    <row r="42" spans="1:15" x14ac:dyDescent="0.2">
      <c r="A42" s="1" t="s">
        <v>133</v>
      </c>
      <c r="B42" s="2">
        <v>60.38</v>
      </c>
      <c r="C42" s="2">
        <v>147.08000000000001</v>
      </c>
      <c r="D42" s="2" t="s">
        <v>131</v>
      </c>
      <c r="E42" s="2" t="s">
        <v>134</v>
      </c>
      <c r="H42" s="2" t="s">
        <v>2742</v>
      </c>
      <c r="J42" s="7" t="str">
        <f t="shared" si="6"/>
        <v>Cape Hinch</v>
      </c>
      <c r="K42" s="7" t="str">
        <f t="shared" si="7"/>
        <v xml:space="preserve">,AK </v>
      </c>
      <c r="L42" s="7" t="str">
        <f t="shared" si="8"/>
        <v>,AK</v>
      </c>
      <c r="M42" s="7" t="str">
        <f t="shared" si="9"/>
        <v>AK</v>
      </c>
      <c r="N42" s="9">
        <f t="shared" si="10"/>
        <v>60.38</v>
      </c>
      <c r="O42" s="9">
        <f t="shared" si="11"/>
        <v>147.08000000000001</v>
      </c>
    </row>
    <row r="43" spans="1:15" x14ac:dyDescent="0.2">
      <c r="A43" s="1" t="s">
        <v>135</v>
      </c>
      <c r="B43" s="2">
        <v>58.33</v>
      </c>
      <c r="C43" s="2">
        <v>137.05000000000001</v>
      </c>
      <c r="D43" s="2" t="s">
        <v>131</v>
      </c>
      <c r="E43" s="2" t="s">
        <v>136</v>
      </c>
      <c r="H43" s="2" t="s">
        <v>2743</v>
      </c>
      <c r="J43" s="7" t="str">
        <f t="shared" si="6"/>
        <v>Cape Spenc</v>
      </c>
      <c r="K43" s="7" t="str">
        <f t="shared" si="7"/>
        <v xml:space="preserve">,AK </v>
      </c>
      <c r="L43" s="7" t="str">
        <f t="shared" si="8"/>
        <v>,AK</v>
      </c>
      <c r="M43" s="7" t="str">
        <f t="shared" si="9"/>
        <v>AK</v>
      </c>
      <c r="N43" s="9">
        <f t="shared" si="10"/>
        <v>58.33</v>
      </c>
      <c r="O43" s="9">
        <f t="shared" si="11"/>
        <v>137.05000000000001</v>
      </c>
    </row>
    <row r="44" spans="1:15" x14ac:dyDescent="0.2">
      <c r="A44" s="1" t="s">
        <v>137</v>
      </c>
      <c r="B44" s="2">
        <v>60.33</v>
      </c>
      <c r="C44" s="2">
        <v>145</v>
      </c>
      <c r="D44" s="2" t="s">
        <v>131</v>
      </c>
      <c r="E44" s="2" t="s">
        <v>138</v>
      </c>
      <c r="F44" s="2" t="s">
        <v>139</v>
      </c>
      <c r="H44" s="2" t="s">
        <v>2744</v>
      </c>
      <c r="J44" s="7" t="str">
        <f t="shared" si="6"/>
        <v>Cape St E</v>
      </c>
      <c r="K44" s="7" t="str">
        <f t="shared" si="7"/>
        <v>i,AK</v>
      </c>
      <c r="L44" s="7" t="str">
        <f t="shared" si="8"/>
        <v>i,A</v>
      </c>
      <c r="M44" s="7" t="str">
        <f t="shared" si="9"/>
        <v>iA</v>
      </c>
      <c r="N44" s="9">
        <f t="shared" si="10"/>
        <v>60.33</v>
      </c>
      <c r="O44" s="9">
        <f t="shared" si="11"/>
        <v>145</v>
      </c>
    </row>
    <row r="45" spans="1:15" x14ac:dyDescent="0.2">
      <c r="A45" s="1" t="s">
        <v>140</v>
      </c>
      <c r="B45" s="2">
        <v>67.5</v>
      </c>
      <c r="C45" s="2">
        <v>148.47999999999999</v>
      </c>
      <c r="D45" s="2" t="s">
        <v>141</v>
      </c>
      <c r="E45" s="2" t="s">
        <v>127</v>
      </c>
      <c r="H45" s="2" t="s">
        <v>2745</v>
      </c>
      <c r="J45" s="7" t="str">
        <f t="shared" si="6"/>
        <v>Chandalar L</v>
      </c>
      <c r="K45" s="7" t="str">
        <f t="shared" si="7"/>
        <v xml:space="preserve">,AK </v>
      </c>
      <c r="L45" s="7" t="str">
        <f t="shared" si="8"/>
        <v>,AK</v>
      </c>
      <c r="M45" s="7" t="str">
        <f t="shared" si="9"/>
        <v>AK</v>
      </c>
      <c r="N45" s="9">
        <f t="shared" si="10"/>
        <v>67.5</v>
      </c>
      <c r="O45" s="9">
        <f t="shared" si="11"/>
        <v>148.47999999999999</v>
      </c>
    </row>
    <row r="46" spans="1:15" x14ac:dyDescent="0.2">
      <c r="A46" s="1" t="s">
        <v>142</v>
      </c>
      <c r="B46" s="2">
        <v>62.88</v>
      </c>
      <c r="C46" s="2">
        <v>149.83000000000001</v>
      </c>
      <c r="D46" s="2" t="s">
        <v>143</v>
      </c>
      <c r="H46" s="2" t="s">
        <v>2746</v>
      </c>
      <c r="J46" s="7" t="str">
        <f t="shared" si="6"/>
        <v>Chulitna</v>
      </c>
      <c r="K46" s="7" t="str">
        <f t="shared" si="7"/>
        <v xml:space="preserve">AK  </v>
      </c>
      <c r="L46" s="7" t="str">
        <f t="shared" si="8"/>
        <v xml:space="preserve">AK </v>
      </c>
      <c r="M46" s="7" t="str">
        <f t="shared" si="9"/>
        <v xml:space="preserve">AK </v>
      </c>
      <c r="N46" s="9">
        <f t="shared" si="10"/>
        <v>62.88</v>
      </c>
      <c r="O46" s="9">
        <f t="shared" si="11"/>
        <v>149.83000000000001</v>
      </c>
    </row>
    <row r="47" spans="1:15" x14ac:dyDescent="0.2">
      <c r="A47" s="1" t="s">
        <v>144</v>
      </c>
      <c r="B47" s="2">
        <v>65.83</v>
      </c>
      <c r="C47" s="2">
        <v>144.07</v>
      </c>
      <c r="D47" s="2" t="s">
        <v>145</v>
      </c>
      <c r="E47" s="2" t="s">
        <v>146</v>
      </c>
      <c r="H47" s="2" t="s">
        <v>2747</v>
      </c>
      <c r="J47" s="7" t="str">
        <f t="shared" si="6"/>
        <v>Circle Cit</v>
      </c>
      <c r="K47" s="7" t="str">
        <f t="shared" si="7"/>
        <v xml:space="preserve">,AK </v>
      </c>
      <c r="L47" s="7" t="str">
        <f t="shared" si="8"/>
        <v>,AK</v>
      </c>
      <c r="M47" s="7" t="str">
        <f t="shared" si="9"/>
        <v>AK</v>
      </c>
      <c r="N47" s="9">
        <f t="shared" si="10"/>
        <v>65.83</v>
      </c>
      <c r="O47" s="9">
        <f t="shared" si="11"/>
        <v>144.07</v>
      </c>
    </row>
    <row r="48" spans="1:15" x14ac:dyDescent="0.2">
      <c r="A48" s="1" t="s">
        <v>147</v>
      </c>
      <c r="B48" s="2">
        <v>55.2</v>
      </c>
      <c r="C48" s="2">
        <v>162.72</v>
      </c>
      <c r="D48" s="2" t="s">
        <v>148</v>
      </c>
      <c r="E48" s="2" t="s">
        <v>149</v>
      </c>
      <c r="H48" s="2" t="s">
        <v>2748</v>
      </c>
      <c r="J48" s="7" t="str">
        <f t="shared" si="6"/>
        <v>Cold Ba</v>
      </c>
      <c r="K48" s="7" t="str">
        <f t="shared" si="7"/>
        <v xml:space="preserve">,AK </v>
      </c>
      <c r="L48" s="7" t="str">
        <f t="shared" si="8"/>
        <v>,AK</v>
      </c>
      <c r="M48" s="7" t="str">
        <f t="shared" si="9"/>
        <v>AK</v>
      </c>
      <c r="N48" s="9">
        <f t="shared" si="10"/>
        <v>55.2</v>
      </c>
      <c r="O48" s="9">
        <f t="shared" si="11"/>
        <v>162.72</v>
      </c>
    </row>
    <row r="49" spans="1:15" x14ac:dyDescent="0.2">
      <c r="A49" s="1" t="s">
        <v>150</v>
      </c>
      <c r="B49" s="2">
        <v>60.5</v>
      </c>
      <c r="C49" s="2">
        <v>145.5</v>
      </c>
      <c r="D49" s="2" t="s">
        <v>151</v>
      </c>
      <c r="H49" s="2" t="s">
        <v>2749</v>
      </c>
      <c r="J49" s="7" t="str">
        <f t="shared" si="6"/>
        <v>Cordova</v>
      </c>
      <c r="K49" s="7" t="str">
        <f t="shared" si="7"/>
        <v xml:space="preserve">AK  </v>
      </c>
      <c r="L49" s="7" t="str">
        <f t="shared" si="8"/>
        <v xml:space="preserve">AK </v>
      </c>
      <c r="M49" s="7" t="str">
        <f t="shared" si="9"/>
        <v xml:space="preserve">AK </v>
      </c>
      <c r="N49" s="9">
        <f t="shared" si="10"/>
        <v>60.5</v>
      </c>
      <c r="O49" s="9">
        <f t="shared" si="11"/>
        <v>145.5</v>
      </c>
    </row>
    <row r="50" spans="1:15" x14ac:dyDescent="0.2">
      <c r="A50" s="1" t="s">
        <v>152</v>
      </c>
      <c r="B50" s="2">
        <v>55.8</v>
      </c>
      <c r="C50" s="2">
        <v>133.25</v>
      </c>
      <c r="D50" s="2" t="s">
        <v>153</v>
      </c>
      <c r="H50" s="2" t="s">
        <v>2750</v>
      </c>
      <c r="J50" s="7" t="str">
        <f t="shared" si="6"/>
        <v>Craig</v>
      </c>
      <c r="K50" s="7" t="str">
        <f t="shared" si="7"/>
        <v xml:space="preserve">AK  </v>
      </c>
      <c r="L50" s="7" t="str">
        <f t="shared" si="8"/>
        <v xml:space="preserve">AK </v>
      </c>
      <c r="M50" s="7" t="str">
        <f t="shared" si="9"/>
        <v xml:space="preserve">AK </v>
      </c>
      <c r="N50" s="9">
        <f t="shared" si="10"/>
        <v>55.8</v>
      </c>
      <c r="O50" s="9">
        <f t="shared" si="11"/>
        <v>133.25</v>
      </c>
    </row>
    <row r="51" spans="1:15" x14ac:dyDescent="0.2">
      <c r="A51" s="1" t="s">
        <v>154</v>
      </c>
      <c r="B51" s="2">
        <v>70.2</v>
      </c>
      <c r="C51" s="2">
        <v>148.47</v>
      </c>
      <c r="D51" s="2" t="s">
        <v>155</v>
      </c>
      <c r="H51" s="2" t="s">
        <v>2751</v>
      </c>
      <c r="J51" s="7" t="str">
        <f t="shared" si="6"/>
        <v>Deadhorse</v>
      </c>
      <c r="K51" s="7" t="str">
        <f t="shared" si="7"/>
        <v xml:space="preserve">AK  </v>
      </c>
      <c r="L51" s="7" t="str">
        <f t="shared" si="8"/>
        <v xml:space="preserve">AK </v>
      </c>
      <c r="M51" s="7" t="str">
        <f t="shared" si="9"/>
        <v xml:space="preserve">AK </v>
      </c>
      <c r="N51" s="9">
        <f t="shared" si="10"/>
        <v>70.2</v>
      </c>
      <c r="O51" s="9">
        <f t="shared" si="11"/>
        <v>148.47</v>
      </c>
    </row>
    <row r="52" spans="1:15" x14ac:dyDescent="0.2">
      <c r="A52" s="1" t="s">
        <v>156</v>
      </c>
      <c r="B52" s="2">
        <v>59.05</v>
      </c>
      <c r="C52" s="2">
        <v>158.52000000000001</v>
      </c>
      <c r="D52" s="2" t="s">
        <v>157</v>
      </c>
      <c r="H52" s="2" t="s">
        <v>2752</v>
      </c>
      <c r="J52" s="7" t="str">
        <f t="shared" si="6"/>
        <v>Dillingham</v>
      </c>
      <c r="K52" s="7" t="str">
        <f t="shared" si="7"/>
        <v xml:space="preserve">AK  </v>
      </c>
      <c r="L52" s="7" t="str">
        <f t="shared" si="8"/>
        <v xml:space="preserve">AK </v>
      </c>
      <c r="M52" s="7" t="str">
        <f t="shared" si="9"/>
        <v xml:space="preserve">AK </v>
      </c>
      <c r="N52" s="9">
        <f t="shared" si="10"/>
        <v>59.05</v>
      </c>
      <c r="O52" s="9">
        <f t="shared" si="11"/>
        <v>158.52000000000001</v>
      </c>
    </row>
    <row r="53" spans="1:15" x14ac:dyDescent="0.2">
      <c r="A53" s="1" t="s">
        <v>158</v>
      </c>
      <c r="B53" s="2">
        <v>62.73</v>
      </c>
      <c r="C53" s="2">
        <v>143.91999999999999</v>
      </c>
      <c r="D53" s="2" t="s">
        <v>159</v>
      </c>
      <c r="E53" s="2" t="s">
        <v>160</v>
      </c>
      <c r="H53" s="2" t="s">
        <v>2753</v>
      </c>
      <c r="J53" s="7" t="str">
        <f t="shared" si="6"/>
        <v>Duffys Taver</v>
      </c>
      <c r="K53" s="7" t="str">
        <f t="shared" si="7"/>
        <v xml:space="preserve">,AK </v>
      </c>
      <c r="L53" s="7" t="str">
        <f t="shared" si="8"/>
        <v>,AK</v>
      </c>
      <c r="M53" s="7" t="str">
        <f t="shared" si="9"/>
        <v>AK</v>
      </c>
      <c r="N53" s="9">
        <f t="shared" si="10"/>
        <v>62.73</v>
      </c>
      <c r="O53" s="9">
        <f t="shared" si="11"/>
        <v>143.91999999999999</v>
      </c>
    </row>
    <row r="54" spans="1:15" x14ac:dyDescent="0.2">
      <c r="A54" s="1" t="s">
        <v>161</v>
      </c>
      <c r="B54" s="2">
        <v>53.88</v>
      </c>
      <c r="C54" s="2">
        <v>166.53</v>
      </c>
      <c r="D54" s="2" t="s">
        <v>162</v>
      </c>
      <c r="E54" s="2" t="s">
        <v>163</v>
      </c>
      <c r="H54" s="2" t="s">
        <v>2754</v>
      </c>
      <c r="J54" s="7" t="str">
        <f t="shared" si="6"/>
        <v>Dutch Harbo</v>
      </c>
      <c r="K54" s="7" t="str">
        <f t="shared" si="7"/>
        <v xml:space="preserve">,AK </v>
      </c>
      <c r="L54" s="7" t="str">
        <f t="shared" si="8"/>
        <v>,AK</v>
      </c>
      <c r="M54" s="7" t="str">
        <f t="shared" si="9"/>
        <v>AK</v>
      </c>
      <c r="N54" s="9">
        <f t="shared" si="10"/>
        <v>53.88</v>
      </c>
      <c r="O54" s="9">
        <f t="shared" si="11"/>
        <v>166.53</v>
      </c>
    </row>
    <row r="55" spans="1:15" x14ac:dyDescent="0.2">
      <c r="A55" s="1" t="s">
        <v>164</v>
      </c>
      <c r="B55" s="2">
        <v>64.77</v>
      </c>
      <c r="C55" s="2">
        <v>141.15</v>
      </c>
      <c r="D55" s="2" t="s">
        <v>165</v>
      </c>
      <c r="E55" s="2" t="s">
        <v>119</v>
      </c>
      <c r="H55" s="2" t="s">
        <v>2755</v>
      </c>
      <c r="J55" s="7" t="str">
        <f t="shared" si="6"/>
        <v>Eagle Arp</v>
      </c>
      <c r="K55" s="7" t="str">
        <f t="shared" si="7"/>
        <v xml:space="preserve">,AK </v>
      </c>
      <c r="L55" s="7" t="str">
        <f t="shared" si="8"/>
        <v>,AK</v>
      </c>
      <c r="M55" s="7" t="str">
        <f t="shared" si="9"/>
        <v>AK</v>
      </c>
      <c r="N55" s="9">
        <f t="shared" si="10"/>
        <v>64.77</v>
      </c>
      <c r="O55" s="9">
        <f t="shared" si="11"/>
        <v>141.15</v>
      </c>
    </row>
    <row r="56" spans="1:15" x14ac:dyDescent="0.2">
      <c r="A56" s="1" t="s">
        <v>166</v>
      </c>
      <c r="B56" s="2">
        <v>59.62</v>
      </c>
      <c r="C56" s="2">
        <v>135.37</v>
      </c>
      <c r="D56" s="2" t="s">
        <v>167</v>
      </c>
      <c r="E56" s="2" t="s">
        <v>168</v>
      </c>
      <c r="H56" s="2" t="s">
        <v>2756</v>
      </c>
      <c r="J56" s="7" t="str">
        <f t="shared" si="6"/>
        <v>Eldred Roc</v>
      </c>
      <c r="K56" s="7" t="str">
        <f t="shared" si="7"/>
        <v xml:space="preserve">,AK </v>
      </c>
      <c r="L56" s="7" t="str">
        <f t="shared" si="8"/>
        <v>,AK</v>
      </c>
      <c r="M56" s="7" t="str">
        <f t="shared" si="9"/>
        <v>AK</v>
      </c>
      <c r="N56" s="9">
        <f t="shared" si="10"/>
        <v>59.62</v>
      </c>
      <c r="O56" s="9">
        <f t="shared" si="11"/>
        <v>135.37</v>
      </c>
    </row>
    <row r="57" spans="1:15" x14ac:dyDescent="0.2">
      <c r="A57" s="1" t="s">
        <v>169</v>
      </c>
      <c r="B57" s="2">
        <v>58.2</v>
      </c>
      <c r="C57" s="2">
        <v>136.35</v>
      </c>
      <c r="D57" s="2" t="s">
        <v>170</v>
      </c>
      <c r="E57" s="2" t="s">
        <v>171</v>
      </c>
      <c r="H57" s="2" t="s">
        <v>2757</v>
      </c>
      <c r="J57" s="7" t="str">
        <f t="shared" si="6"/>
        <v>Elfin Cov</v>
      </c>
      <c r="K57" s="7" t="str">
        <f t="shared" si="7"/>
        <v xml:space="preserve">,AK </v>
      </c>
      <c r="L57" s="7" t="str">
        <f t="shared" si="8"/>
        <v>,AK</v>
      </c>
      <c r="M57" s="7" t="str">
        <f t="shared" si="9"/>
        <v>AK</v>
      </c>
      <c r="N57" s="9">
        <f t="shared" si="10"/>
        <v>58.2</v>
      </c>
      <c r="O57" s="9">
        <f t="shared" si="11"/>
        <v>136.35</v>
      </c>
    </row>
    <row r="58" spans="1:15" x14ac:dyDescent="0.2">
      <c r="A58" s="1" t="s">
        <v>172</v>
      </c>
      <c r="B58" s="2">
        <v>64.819999999999993</v>
      </c>
      <c r="C58" s="2">
        <v>147.87</v>
      </c>
      <c r="D58" s="2" t="s">
        <v>173</v>
      </c>
      <c r="H58" s="2" t="s">
        <v>2758</v>
      </c>
      <c r="J58" s="7" t="str">
        <f t="shared" si="6"/>
        <v>Fairbanks</v>
      </c>
      <c r="K58" s="7" t="str">
        <f t="shared" si="7"/>
        <v xml:space="preserve">AK  </v>
      </c>
      <c r="L58" s="7" t="str">
        <f t="shared" si="8"/>
        <v xml:space="preserve">AK </v>
      </c>
      <c r="M58" s="7" t="str">
        <f t="shared" si="9"/>
        <v xml:space="preserve">AK </v>
      </c>
      <c r="N58" s="9">
        <f t="shared" ref="N58:N89" si="12">B58</f>
        <v>64.819999999999993</v>
      </c>
      <c r="O58" s="9">
        <f t="shared" ref="O58:O89" si="13">C58</f>
        <v>147.87</v>
      </c>
    </row>
    <row r="59" spans="1:15" x14ac:dyDescent="0.2">
      <c r="A59" s="1" t="s">
        <v>174</v>
      </c>
      <c r="B59" s="2">
        <v>62.85</v>
      </c>
      <c r="C59" s="2">
        <v>154.47</v>
      </c>
      <c r="D59" s="2" t="s">
        <v>175</v>
      </c>
      <c r="H59" s="2" t="s">
        <v>2759</v>
      </c>
      <c r="J59" s="7" t="str">
        <f t="shared" si="6"/>
        <v>Farewell</v>
      </c>
      <c r="K59" s="7" t="str">
        <f t="shared" si="7"/>
        <v xml:space="preserve">AK  </v>
      </c>
      <c r="L59" s="7" t="str">
        <f t="shared" si="8"/>
        <v xml:space="preserve">AK </v>
      </c>
      <c r="M59" s="7" t="str">
        <f t="shared" si="9"/>
        <v xml:space="preserve">AK </v>
      </c>
      <c r="N59" s="9">
        <f t="shared" si="12"/>
        <v>62.85</v>
      </c>
      <c r="O59" s="9">
        <f t="shared" si="13"/>
        <v>154.47</v>
      </c>
    </row>
    <row r="60" spans="1:15" x14ac:dyDescent="0.2">
      <c r="A60" s="1" t="s">
        <v>176</v>
      </c>
      <c r="B60" s="2">
        <v>57.45</v>
      </c>
      <c r="C60" s="2">
        <v>134.03</v>
      </c>
      <c r="D60" s="2" t="s">
        <v>177</v>
      </c>
      <c r="E60" s="2" t="s">
        <v>178</v>
      </c>
      <c r="H60" s="2" t="s">
        <v>2760</v>
      </c>
      <c r="J60" s="7" t="str">
        <f t="shared" si="6"/>
        <v>Five Finge</v>
      </c>
      <c r="K60" s="7" t="str">
        <f t="shared" si="7"/>
        <v xml:space="preserve">,AK </v>
      </c>
      <c r="L60" s="7" t="str">
        <f t="shared" si="8"/>
        <v>,AK</v>
      </c>
      <c r="M60" s="7" t="str">
        <f t="shared" si="9"/>
        <v>AK</v>
      </c>
      <c r="N60" s="9">
        <f t="shared" si="12"/>
        <v>57.45</v>
      </c>
      <c r="O60" s="9">
        <f t="shared" si="13"/>
        <v>134.03</v>
      </c>
    </row>
    <row r="61" spans="1:15" x14ac:dyDescent="0.2">
      <c r="A61" s="1" t="s">
        <v>179</v>
      </c>
      <c r="B61" s="2">
        <v>65.930000000000007</v>
      </c>
      <c r="C61" s="2">
        <v>149.83000000000001</v>
      </c>
      <c r="D61" s="2" t="s">
        <v>177</v>
      </c>
      <c r="E61" s="2" t="s">
        <v>180</v>
      </c>
      <c r="H61" s="2" t="s">
        <v>2761</v>
      </c>
      <c r="J61" s="7" t="str">
        <f t="shared" si="6"/>
        <v>Five Mil</v>
      </c>
      <c r="K61" s="7" t="str">
        <f t="shared" si="7"/>
        <v xml:space="preserve">,AK </v>
      </c>
      <c r="L61" s="7" t="str">
        <f t="shared" si="8"/>
        <v>,AK</v>
      </c>
      <c r="M61" s="7" t="str">
        <f t="shared" si="9"/>
        <v>AK</v>
      </c>
      <c r="N61" s="9">
        <f t="shared" si="12"/>
        <v>65.930000000000007</v>
      </c>
      <c r="O61" s="9">
        <f t="shared" si="13"/>
        <v>149.83000000000001</v>
      </c>
    </row>
    <row r="62" spans="1:15" x14ac:dyDescent="0.2">
      <c r="A62" s="1" t="s">
        <v>181</v>
      </c>
      <c r="B62" s="2">
        <v>66.569999999999993</v>
      </c>
      <c r="C62" s="2">
        <v>145.27000000000001</v>
      </c>
      <c r="D62" s="2" t="s">
        <v>71</v>
      </c>
      <c r="E62" s="2" t="s">
        <v>182</v>
      </c>
      <c r="H62" s="2" t="s">
        <v>2762</v>
      </c>
      <c r="J62" s="7" t="str">
        <f t="shared" si="6"/>
        <v>Fort Yuko</v>
      </c>
      <c r="K62" s="7" t="str">
        <f t="shared" si="7"/>
        <v xml:space="preserve">,AK </v>
      </c>
      <c r="L62" s="7" t="str">
        <f t="shared" si="8"/>
        <v>,AK</v>
      </c>
      <c r="M62" s="7" t="str">
        <f t="shared" si="9"/>
        <v>AK</v>
      </c>
      <c r="N62" s="9">
        <f t="shared" si="12"/>
        <v>66.569999999999993</v>
      </c>
      <c r="O62" s="9">
        <f t="shared" si="13"/>
        <v>145.27000000000001</v>
      </c>
    </row>
    <row r="63" spans="1:15" x14ac:dyDescent="0.2">
      <c r="A63" s="1" t="s">
        <v>183</v>
      </c>
      <c r="B63" s="2">
        <v>58.25</v>
      </c>
      <c r="C63" s="2">
        <v>134.9</v>
      </c>
      <c r="D63" s="2" t="s">
        <v>184</v>
      </c>
      <c r="E63" s="2" t="s">
        <v>149</v>
      </c>
      <c r="H63" s="2" t="s">
        <v>2763</v>
      </c>
      <c r="J63" s="7" t="str">
        <f t="shared" si="6"/>
        <v>Funter Ba</v>
      </c>
      <c r="K63" s="7" t="str">
        <f t="shared" si="7"/>
        <v xml:space="preserve">,AK </v>
      </c>
      <c r="L63" s="7" t="str">
        <f t="shared" si="8"/>
        <v>,AK</v>
      </c>
      <c r="M63" s="7" t="str">
        <f t="shared" si="9"/>
        <v>AK</v>
      </c>
      <c r="N63" s="9">
        <f t="shared" si="12"/>
        <v>58.25</v>
      </c>
      <c r="O63" s="9">
        <f t="shared" si="13"/>
        <v>134.9</v>
      </c>
    </row>
    <row r="64" spans="1:15" x14ac:dyDescent="0.2">
      <c r="A64" s="1" t="s">
        <v>185</v>
      </c>
      <c r="B64" s="2">
        <v>68.48</v>
      </c>
      <c r="C64" s="2">
        <v>149.47999999999999</v>
      </c>
      <c r="D64" s="2" t="s">
        <v>186</v>
      </c>
      <c r="E64" s="2" t="s">
        <v>127</v>
      </c>
      <c r="H64" s="2" t="s">
        <v>2764</v>
      </c>
      <c r="J64" s="7" t="str">
        <f t="shared" si="6"/>
        <v>Galbraith L</v>
      </c>
      <c r="K64" s="7" t="str">
        <f t="shared" si="7"/>
        <v xml:space="preserve">,AK </v>
      </c>
      <c r="L64" s="7" t="str">
        <f t="shared" si="8"/>
        <v>,AK</v>
      </c>
      <c r="M64" s="7" t="str">
        <f t="shared" si="9"/>
        <v>AK</v>
      </c>
      <c r="N64" s="9">
        <f t="shared" si="12"/>
        <v>68.48</v>
      </c>
      <c r="O64" s="9">
        <f t="shared" si="13"/>
        <v>149.47999999999999</v>
      </c>
    </row>
    <row r="65" spans="1:15" x14ac:dyDescent="0.2">
      <c r="A65" s="1" t="s">
        <v>187</v>
      </c>
      <c r="B65" s="2">
        <v>63.77</v>
      </c>
      <c r="C65" s="2">
        <v>171.73</v>
      </c>
      <c r="D65" s="2" t="s">
        <v>188</v>
      </c>
      <c r="H65" s="2" t="s">
        <v>2765</v>
      </c>
      <c r="J65" s="7" t="str">
        <f t="shared" si="6"/>
        <v>Gambell</v>
      </c>
      <c r="K65" s="7" t="str">
        <f t="shared" si="7"/>
        <v xml:space="preserve">AK  </v>
      </c>
      <c r="L65" s="7" t="str">
        <f t="shared" si="8"/>
        <v xml:space="preserve">AK </v>
      </c>
      <c r="M65" s="7" t="str">
        <f t="shared" si="9"/>
        <v xml:space="preserve">AK </v>
      </c>
      <c r="N65" s="9">
        <f t="shared" si="12"/>
        <v>63.77</v>
      </c>
      <c r="O65" s="9">
        <f t="shared" si="13"/>
        <v>171.73</v>
      </c>
    </row>
    <row r="66" spans="1:15" x14ac:dyDescent="0.2">
      <c r="A66" s="1" t="s">
        <v>189</v>
      </c>
      <c r="B66" s="2">
        <v>62.15</v>
      </c>
      <c r="C66" s="2">
        <v>145.44999999999999</v>
      </c>
      <c r="D66" s="2" t="s">
        <v>190</v>
      </c>
      <c r="E66" s="2" t="s">
        <v>119</v>
      </c>
      <c r="H66" s="2" t="s">
        <v>2766</v>
      </c>
      <c r="J66" s="7" t="str">
        <f t="shared" si="6"/>
        <v>Gulkana Arp</v>
      </c>
      <c r="K66" s="7" t="str">
        <f t="shared" si="7"/>
        <v xml:space="preserve">,AK </v>
      </c>
      <c r="L66" s="7" t="str">
        <f t="shared" si="8"/>
        <v>,AK</v>
      </c>
      <c r="M66" s="7" t="str">
        <f t="shared" si="9"/>
        <v>AK</v>
      </c>
      <c r="N66" s="9">
        <f t="shared" si="12"/>
        <v>62.15</v>
      </c>
      <c r="O66" s="9">
        <f t="shared" si="13"/>
        <v>145.44999999999999</v>
      </c>
    </row>
    <row r="67" spans="1:15" x14ac:dyDescent="0.2">
      <c r="A67" s="1" t="s">
        <v>191</v>
      </c>
      <c r="B67" s="2">
        <v>58.42</v>
      </c>
      <c r="C67" s="2">
        <v>135.72999999999999</v>
      </c>
      <c r="D67" s="2" t="s">
        <v>192</v>
      </c>
      <c r="H67" s="2" t="s">
        <v>2767</v>
      </c>
      <c r="J67" s="7" t="str">
        <f t="shared" si="6"/>
        <v>Gustavus</v>
      </c>
      <c r="K67" s="7" t="str">
        <f t="shared" si="7"/>
        <v xml:space="preserve">AK  </v>
      </c>
      <c r="L67" s="7" t="str">
        <f t="shared" si="8"/>
        <v xml:space="preserve">AK </v>
      </c>
      <c r="M67" s="7" t="str">
        <f t="shared" si="9"/>
        <v xml:space="preserve">AK </v>
      </c>
      <c r="N67" s="9">
        <f t="shared" si="12"/>
        <v>58.42</v>
      </c>
      <c r="O67" s="9">
        <f t="shared" si="13"/>
        <v>135.72999999999999</v>
      </c>
    </row>
    <row r="68" spans="1:15" x14ac:dyDescent="0.2">
      <c r="A68" s="1" t="s">
        <v>193</v>
      </c>
      <c r="B68" s="2">
        <v>59.23</v>
      </c>
      <c r="C68" s="2">
        <v>135.43</v>
      </c>
      <c r="D68" s="2" t="s">
        <v>194</v>
      </c>
      <c r="E68" s="2" t="s">
        <v>195</v>
      </c>
      <c r="H68" s="2" t="s">
        <v>2768</v>
      </c>
      <c r="J68" s="7" t="str">
        <f t="shared" si="6"/>
        <v>Haines Hrbo</v>
      </c>
      <c r="K68" s="7" t="str">
        <f t="shared" si="7"/>
        <v xml:space="preserve">,AK </v>
      </c>
      <c r="L68" s="7" t="str">
        <f t="shared" si="8"/>
        <v>,AK</v>
      </c>
      <c r="M68" s="7" t="str">
        <f t="shared" si="9"/>
        <v>AK</v>
      </c>
      <c r="N68" s="9">
        <f t="shared" si="12"/>
        <v>59.23</v>
      </c>
      <c r="O68" s="9">
        <f t="shared" si="13"/>
        <v>135.43</v>
      </c>
    </row>
    <row r="69" spans="1:15" x14ac:dyDescent="0.2">
      <c r="A69" s="1" t="s">
        <v>196</v>
      </c>
      <c r="B69" s="2">
        <v>61.98</v>
      </c>
      <c r="C69" s="2">
        <v>152.08000000000001</v>
      </c>
      <c r="D69" s="2" t="s">
        <v>197</v>
      </c>
      <c r="E69" s="2" t="s">
        <v>198</v>
      </c>
      <c r="H69" s="2" t="s">
        <v>2769</v>
      </c>
      <c r="J69" s="7" t="str">
        <f t="shared" si="6"/>
        <v>Hayes Rive</v>
      </c>
      <c r="K69" s="7" t="str">
        <f t="shared" si="7"/>
        <v xml:space="preserve">,AK </v>
      </c>
      <c r="L69" s="7" t="str">
        <f t="shared" si="8"/>
        <v>,AK</v>
      </c>
      <c r="M69" s="7" t="str">
        <f t="shared" si="9"/>
        <v>AK</v>
      </c>
      <c r="N69" s="9">
        <f t="shared" si="12"/>
        <v>61.98</v>
      </c>
      <c r="O69" s="9">
        <f t="shared" si="13"/>
        <v>152.08000000000001</v>
      </c>
    </row>
    <row r="70" spans="1:15" x14ac:dyDescent="0.2">
      <c r="A70" s="1" t="s">
        <v>199</v>
      </c>
      <c r="B70" s="2">
        <v>63.83</v>
      </c>
      <c r="C70" s="2">
        <v>149</v>
      </c>
      <c r="D70" s="2" t="s">
        <v>200</v>
      </c>
      <c r="E70" s="2" t="s">
        <v>198</v>
      </c>
      <c r="H70" s="2" t="s">
        <v>2770</v>
      </c>
      <c r="J70" s="7" t="str">
        <f t="shared" si="6"/>
        <v>Healy Rive</v>
      </c>
      <c r="K70" s="7" t="str">
        <f t="shared" si="7"/>
        <v xml:space="preserve">,AK </v>
      </c>
      <c r="L70" s="7" t="str">
        <f t="shared" si="8"/>
        <v>,AK</v>
      </c>
      <c r="M70" s="7" t="str">
        <f t="shared" si="9"/>
        <v>AK</v>
      </c>
      <c r="N70" s="9">
        <f t="shared" si="12"/>
        <v>63.83</v>
      </c>
      <c r="O70" s="9">
        <f t="shared" si="13"/>
        <v>149</v>
      </c>
    </row>
    <row r="71" spans="1:15" x14ac:dyDescent="0.2">
      <c r="A71" s="1" t="s">
        <v>201</v>
      </c>
      <c r="B71" s="2">
        <v>59.63</v>
      </c>
      <c r="C71" s="2">
        <v>151.5</v>
      </c>
      <c r="D71" s="2" t="s">
        <v>202</v>
      </c>
      <c r="H71" s="2" t="s">
        <v>2771</v>
      </c>
      <c r="J71" s="7" t="str">
        <f t="shared" si="6"/>
        <v>Homer</v>
      </c>
      <c r="K71" s="7" t="str">
        <f t="shared" si="7"/>
        <v xml:space="preserve">AK  </v>
      </c>
      <c r="L71" s="7" t="str">
        <f t="shared" si="8"/>
        <v xml:space="preserve">AK </v>
      </c>
      <c r="M71" s="7" t="str">
        <f t="shared" si="9"/>
        <v xml:space="preserve">AK </v>
      </c>
      <c r="N71" s="9">
        <f t="shared" si="12"/>
        <v>59.63</v>
      </c>
      <c r="O71" s="9">
        <f t="shared" si="13"/>
        <v>151.5</v>
      </c>
    </row>
    <row r="72" spans="1:15" x14ac:dyDescent="0.2">
      <c r="A72" s="1" t="s">
        <v>203</v>
      </c>
      <c r="B72" s="2">
        <v>58.1</v>
      </c>
      <c r="C72" s="2">
        <v>135.44999999999999</v>
      </c>
      <c r="D72" s="2" t="s">
        <v>204</v>
      </c>
      <c r="E72" s="2" t="s">
        <v>205</v>
      </c>
      <c r="H72" s="2" t="s">
        <v>2772</v>
      </c>
      <c r="J72" s="7" t="str">
        <f t="shared" si="6"/>
        <v>Hoonah Seap</v>
      </c>
      <c r="K72" s="7" t="str">
        <f t="shared" si="7"/>
        <v xml:space="preserve">,AK </v>
      </c>
      <c r="L72" s="7" t="str">
        <f t="shared" si="8"/>
        <v>,AK</v>
      </c>
      <c r="M72" s="7" t="str">
        <f t="shared" si="9"/>
        <v>AK</v>
      </c>
      <c r="N72" s="9">
        <f t="shared" si="12"/>
        <v>58.1</v>
      </c>
      <c r="O72" s="9">
        <f t="shared" si="13"/>
        <v>135.44999999999999</v>
      </c>
    </row>
    <row r="73" spans="1:15" x14ac:dyDescent="0.2">
      <c r="A73" s="1" t="s">
        <v>206</v>
      </c>
      <c r="B73" s="2">
        <v>59.75</v>
      </c>
      <c r="C73" s="2">
        <v>154.91999999999999</v>
      </c>
      <c r="D73" s="2" t="s">
        <v>207</v>
      </c>
      <c r="E73" s="2" t="s">
        <v>119</v>
      </c>
      <c r="H73" s="2" t="s">
        <v>2773</v>
      </c>
      <c r="J73" s="7" t="str">
        <f t="shared" si="6"/>
        <v>Iliamna Arp</v>
      </c>
      <c r="K73" s="7" t="str">
        <f t="shared" si="7"/>
        <v xml:space="preserve">,AK </v>
      </c>
      <c r="L73" s="7" t="str">
        <f t="shared" si="8"/>
        <v>,AK</v>
      </c>
      <c r="M73" s="7" t="str">
        <f t="shared" si="9"/>
        <v>AK</v>
      </c>
      <c r="N73" s="9">
        <f t="shared" si="12"/>
        <v>59.75</v>
      </c>
      <c r="O73" s="9">
        <f t="shared" si="13"/>
        <v>154.91999999999999</v>
      </c>
    </row>
    <row r="74" spans="1:15" x14ac:dyDescent="0.2">
      <c r="A74" s="1" t="s">
        <v>208</v>
      </c>
      <c r="B74" s="2">
        <v>58.37</v>
      </c>
      <c r="C74" s="2">
        <v>134.58000000000001</v>
      </c>
      <c r="D74" s="2" t="s">
        <v>209</v>
      </c>
      <c r="H74" s="2" t="s">
        <v>2774</v>
      </c>
      <c r="J74" s="7" t="str">
        <f t="shared" si="6"/>
        <v>Juneau</v>
      </c>
      <c r="K74" s="7" t="str">
        <f t="shared" si="7"/>
        <v xml:space="preserve">AK  </v>
      </c>
      <c r="L74" s="7" t="str">
        <f t="shared" si="8"/>
        <v xml:space="preserve">AK </v>
      </c>
      <c r="M74" s="7" t="str">
        <f t="shared" si="9"/>
        <v xml:space="preserve">AK </v>
      </c>
      <c r="N74" s="9">
        <f t="shared" si="12"/>
        <v>58.37</v>
      </c>
      <c r="O74" s="9">
        <f t="shared" si="13"/>
        <v>134.58000000000001</v>
      </c>
    </row>
    <row r="75" spans="1:15" x14ac:dyDescent="0.2">
      <c r="A75" s="1" t="s">
        <v>210</v>
      </c>
      <c r="B75" s="2">
        <v>56.97</v>
      </c>
      <c r="C75" s="2">
        <v>133.94999999999999</v>
      </c>
      <c r="D75" s="2" t="s">
        <v>211</v>
      </c>
      <c r="E75" s="2" t="s">
        <v>212</v>
      </c>
      <c r="H75" s="2" t="s">
        <v>2775</v>
      </c>
      <c r="J75" s="7" t="str">
        <f t="shared" si="6"/>
        <v>Kake Seapla</v>
      </c>
      <c r="K75" s="7" t="str">
        <f t="shared" si="7"/>
        <v xml:space="preserve">,AK </v>
      </c>
      <c r="L75" s="7" t="str">
        <f t="shared" si="8"/>
        <v>,AK</v>
      </c>
      <c r="M75" s="7" t="str">
        <f t="shared" si="9"/>
        <v>AK</v>
      </c>
      <c r="N75" s="9">
        <f t="shared" si="12"/>
        <v>56.97</v>
      </c>
      <c r="O75" s="9">
        <f t="shared" si="13"/>
        <v>133.94999999999999</v>
      </c>
    </row>
    <row r="76" spans="1:15" x14ac:dyDescent="0.2">
      <c r="A76" s="1" t="s">
        <v>213</v>
      </c>
      <c r="B76" s="2">
        <v>60.57</v>
      </c>
      <c r="C76" s="2">
        <v>151.25</v>
      </c>
      <c r="D76" s="2" t="s">
        <v>214</v>
      </c>
      <c r="H76" s="2" t="s">
        <v>2776</v>
      </c>
      <c r="J76" s="7" t="str">
        <f t="shared" si="6"/>
        <v>Kenai</v>
      </c>
      <c r="K76" s="7" t="str">
        <f t="shared" si="7"/>
        <v xml:space="preserve">AK  </v>
      </c>
      <c r="L76" s="7" t="str">
        <f t="shared" si="8"/>
        <v xml:space="preserve">AK </v>
      </c>
      <c r="M76" s="7" t="str">
        <f t="shared" si="9"/>
        <v xml:space="preserve">AK </v>
      </c>
      <c r="N76" s="9">
        <f t="shared" si="12"/>
        <v>60.57</v>
      </c>
      <c r="O76" s="9">
        <f t="shared" si="13"/>
        <v>151.25</v>
      </c>
    </row>
    <row r="77" spans="1:15" x14ac:dyDescent="0.2">
      <c r="A77" s="1" t="s">
        <v>215</v>
      </c>
      <c r="B77" s="2">
        <v>55.35</v>
      </c>
      <c r="C77" s="2">
        <v>131.69999999999999</v>
      </c>
      <c r="D77" s="2" t="s">
        <v>216</v>
      </c>
      <c r="H77" s="2" t="s">
        <v>2777</v>
      </c>
      <c r="J77" s="7" t="str">
        <f t="shared" si="6"/>
        <v>Ketchikan</v>
      </c>
      <c r="K77" s="7" t="str">
        <f t="shared" si="7"/>
        <v xml:space="preserve">AK  </v>
      </c>
      <c r="L77" s="7" t="str">
        <f t="shared" si="8"/>
        <v xml:space="preserve">AK </v>
      </c>
      <c r="M77" s="7" t="str">
        <f t="shared" si="9"/>
        <v xml:space="preserve">AK </v>
      </c>
      <c r="N77" s="9">
        <f t="shared" si="12"/>
        <v>55.35</v>
      </c>
      <c r="O77" s="9">
        <f t="shared" si="13"/>
        <v>131.69999999999999</v>
      </c>
    </row>
    <row r="78" spans="1:15" x14ac:dyDescent="0.2">
      <c r="A78" s="1" t="s">
        <v>217</v>
      </c>
      <c r="B78" s="2">
        <v>58.68</v>
      </c>
      <c r="C78" s="2">
        <v>156.65</v>
      </c>
      <c r="D78" s="2" t="s">
        <v>218</v>
      </c>
      <c r="E78" s="2" t="s">
        <v>219</v>
      </c>
      <c r="H78" s="2" t="s">
        <v>2778</v>
      </c>
      <c r="J78" s="7" t="str">
        <f t="shared" si="6"/>
        <v>King Salmo</v>
      </c>
      <c r="K78" s="7" t="str">
        <f t="shared" si="7"/>
        <v xml:space="preserve">,AK </v>
      </c>
      <c r="L78" s="7" t="str">
        <f t="shared" si="8"/>
        <v>,AK</v>
      </c>
      <c r="M78" s="7" t="str">
        <f t="shared" si="9"/>
        <v>AK</v>
      </c>
      <c r="N78" s="9">
        <f t="shared" si="12"/>
        <v>58.68</v>
      </c>
      <c r="O78" s="9">
        <f t="shared" si="13"/>
        <v>156.65</v>
      </c>
    </row>
    <row r="79" spans="1:15" x14ac:dyDescent="0.2">
      <c r="A79" s="1" t="s">
        <v>220</v>
      </c>
      <c r="B79" s="2">
        <v>57.75</v>
      </c>
      <c r="C79" s="2">
        <v>152.5</v>
      </c>
      <c r="D79" s="2" t="s">
        <v>221</v>
      </c>
      <c r="H79" s="2" t="s">
        <v>2779</v>
      </c>
      <c r="J79" s="7" t="str">
        <f t="shared" si="6"/>
        <v>Kodiak</v>
      </c>
      <c r="K79" s="7" t="str">
        <f t="shared" si="7"/>
        <v xml:space="preserve">AK  </v>
      </c>
      <c r="L79" s="7" t="str">
        <f t="shared" si="8"/>
        <v xml:space="preserve">AK </v>
      </c>
      <c r="M79" s="7" t="str">
        <f t="shared" si="9"/>
        <v xml:space="preserve">AK </v>
      </c>
      <c r="N79" s="9">
        <f t="shared" si="12"/>
        <v>57.75</v>
      </c>
      <c r="O79" s="9">
        <f t="shared" si="13"/>
        <v>152.5</v>
      </c>
    </row>
    <row r="80" spans="1:15" x14ac:dyDescent="0.2">
      <c r="A80" s="1" t="s">
        <v>222</v>
      </c>
      <c r="B80" s="2">
        <v>66.87</v>
      </c>
      <c r="C80" s="2">
        <v>162.63</v>
      </c>
      <c r="D80" s="2" t="s">
        <v>223</v>
      </c>
      <c r="H80" s="2" t="s">
        <v>2780</v>
      </c>
      <c r="J80" s="7" t="str">
        <f t="shared" si="6"/>
        <v>Kotzebue</v>
      </c>
      <c r="K80" s="7" t="str">
        <f t="shared" si="7"/>
        <v xml:space="preserve">AK  </v>
      </c>
      <c r="L80" s="7" t="str">
        <f t="shared" si="8"/>
        <v xml:space="preserve">AK </v>
      </c>
      <c r="M80" s="7" t="str">
        <f t="shared" si="9"/>
        <v xml:space="preserve">AK </v>
      </c>
      <c r="N80" s="9">
        <f t="shared" si="12"/>
        <v>66.87</v>
      </c>
      <c r="O80" s="9">
        <f t="shared" si="13"/>
        <v>162.63</v>
      </c>
    </row>
    <row r="81" spans="1:15" x14ac:dyDescent="0.2">
      <c r="A81" s="1" t="s">
        <v>224</v>
      </c>
      <c r="B81" s="2">
        <v>61.63</v>
      </c>
      <c r="C81" s="2">
        <v>149.03</v>
      </c>
      <c r="D81" s="2" t="s">
        <v>225</v>
      </c>
      <c r="E81" s="2" t="s">
        <v>226</v>
      </c>
      <c r="H81" s="2" t="s">
        <v>2781</v>
      </c>
      <c r="J81" s="7" t="str">
        <f t="shared" si="6"/>
        <v>Lazy Mt</v>
      </c>
      <c r="K81" s="7" t="str">
        <f t="shared" si="7"/>
        <v xml:space="preserve">,AK </v>
      </c>
      <c r="L81" s="7" t="str">
        <f t="shared" si="8"/>
        <v>,AK</v>
      </c>
      <c r="M81" s="7" t="str">
        <f t="shared" si="9"/>
        <v>AK</v>
      </c>
      <c r="N81" s="9">
        <f t="shared" si="12"/>
        <v>61.63</v>
      </c>
      <c r="O81" s="9">
        <f t="shared" si="13"/>
        <v>149.03</v>
      </c>
    </row>
    <row r="82" spans="1:15" x14ac:dyDescent="0.2">
      <c r="A82" s="1" t="s">
        <v>227</v>
      </c>
      <c r="B82" s="2">
        <v>70.92</v>
      </c>
      <c r="C82" s="2">
        <v>153.22999999999999</v>
      </c>
      <c r="D82" s="2" t="s">
        <v>228</v>
      </c>
      <c r="E82" s="2" t="s">
        <v>229</v>
      </c>
      <c r="H82" s="2" t="s">
        <v>2782</v>
      </c>
      <c r="J82" s="7" t="str">
        <f t="shared" si="6"/>
        <v>Lonely (dew</v>
      </c>
      <c r="K82" s="7" t="str">
        <f t="shared" si="7"/>
        <v xml:space="preserve">,AK </v>
      </c>
      <c r="L82" s="7" t="str">
        <f t="shared" si="8"/>
        <v>,AK</v>
      </c>
      <c r="M82" s="7" t="str">
        <f t="shared" si="9"/>
        <v>AK</v>
      </c>
      <c r="N82" s="9">
        <f t="shared" si="12"/>
        <v>70.92</v>
      </c>
      <c r="O82" s="9">
        <f t="shared" si="13"/>
        <v>153.22999999999999</v>
      </c>
    </row>
    <row r="83" spans="1:15" x14ac:dyDescent="0.2">
      <c r="A83" s="1" t="s">
        <v>230</v>
      </c>
      <c r="B83" s="2">
        <v>65</v>
      </c>
      <c r="C83" s="2">
        <v>150.65</v>
      </c>
      <c r="D83" s="2" t="s">
        <v>231</v>
      </c>
      <c r="E83" s="2" t="s">
        <v>232</v>
      </c>
      <c r="F83" s="2" t="s">
        <v>233</v>
      </c>
      <c r="H83" s="2" t="s">
        <v>2783</v>
      </c>
      <c r="J83" s="7" t="str">
        <f t="shared" si="6"/>
        <v xml:space="preserve">Manley Ht </v>
      </c>
      <c r="K83" s="7" t="str">
        <f t="shared" si="7"/>
        <v>p,AK</v>
      </c>
      <c r="L83" s="7" t="str">
        <f t="shared" si="8"/>
        <v>p,A</v>
      </c>
      <c r="M83" s="7" t="str">
        <f t="shared" si="9"/>
        <v>pA</v>
      </c>
      <c r="N83" s="9">
        <f t="shared" si="12"/>
        <v>65</v>
      </c>
      <c r="O83" s="9">
        <f t="shared" si="13"/>
        <v>150.65</v>
      </c>
    </row>
    <row r="84" spans="1:15" x14ac:dyDescent="0.2">
      <c r="A84" s="1" t="s">
        <v>234</v>
      </c>
      <c r="B84" s="2">
        <v>61.43</v>
      </c>
      <c r="C84" s="2">
        <v>142.91999999999999</v>
      </c>
      <c r="D84" s="2" t="s">
        <v>235</v>
      </c>
      <c r="H84" s="2" t="s">
        <v>2784</v>
      </c>
      <c r="J84" s="7" t="str">
        <f t="shared" si="6"/>
        <v>Mccarthy</v>
      </c>
      <c r="K84" s="7" t="str">
        <f t="shared" si="7"/>
        <v xml:space="preserve">AK  </v>
      </c>
      <c r="L84" s="7" t="str">
        <f t="shared" si="8"/>
        <v xml:space="preserve">AK </v>
      </c>
      <c r="M84" s="7" t="str">
        <f t="shared" si="9"/>
        <v xml:space="preserve">AK </v>
      </c>
      <c r="N84" s="9">
        <f t="shared" si="12"/>
        <v>61.43</v>
      </c>
      <c r="O84" s="9">
        <f t="shared" si="13"/>
        <v>142.91999999999999</v>
      </c>
    </row>
    <row r="85" spans="1:15" x14ac:dyDescent="0.2">
      <c r="A85" s="1" t="s">
        <v>236</v>
      </c>
      <c r="B85" s="2">
        <v>62.97</v>
      </c>
      <c r="C85" s="2">
        <v>155.62</v>
      </c>
      <c r="D85" s="2" t="s">
        <v>237</v>
      </c>
      <c r="H85" s="2" t="s">
        <v>2785</v>
      </c>
      <c r="J85" s="7" t="str">
        <f t="shared" si="6"/>
        <v>Mcgrath</v>
      </c>
      <c r="K85" s="7" t="str">
        <f t="shared" si="7"/>
        <v xml:space="preserve">AK  </v>
      </c>
      <c r="L85" s="7" t="str">
        <f t="shared" si="8"/>
        <v xml:space="preserve">AK </v>
      </c>
      <c r="M85" s="7" t="str">
        <f t="shared" si="9"/>
        <v xml:space="preserve">AK </v>
      </c>
      <c r="N85" s="9">
        <f t="shared" si="12"/>
        <v>62.97</v>
      </c>
      <c r="O85" s="9">
        <f t="shared" si="13"/>
        <v>155.62</v>
      </c>
    </row>
    <row r="86" spans="1:15" x14ac:dyDescent="0.2">
      <c r="A86" s="1" t="s">
        <v>238</v>
      </c>
      <c r="B86" s="2">
        <v>60.37</v>
      </c>
      <c r="C86" s="2">
        <v>166.27</v>
      </c>
      <c r="D86" s="2" t="s">
        <v>239</v>
      </c>
      <c r="H86" s="2" t="s">
        <v>2786</v>
      </c>
      <c r="J86" s="7" t="str">
        <f t="shared" ref="J86:J149" si="14">LEFT(H86,LEN(H86)-5)</f>
        <v>Mekoryuk</v>
      </c>
      <c r="K86" s="7" t="str">
        <f t="shared" ref="K86:K149" si="15">RIGHT(H86,4)</f>
        <v xml:space="preserve">AK  </v>
      </c>
      <c r="L86" s="7" t="str">
        <f t="shared" si="8"/>
        <v xml:space="preserve">AK </v>
      </c>
      <c r="M86" s="7" t="str">
        <f t="shared" si="9"/>
        <v xml:space="preserve">AK </v>
      </c>
      <c r="N86" s="9">
        <f t="shared" si="12"/>
        <v>60.37</v>
      </c>
      <c r="O86" s="9">
        <f t="shared" si="13"/>
        <v>166.27</v>
      </c>
    </row>
    <row r="87" spans="1:15" x14ac:dyDescent="0.2">
      <c r="A87" s="1" t="s">
        <v>240</v>
      </c>
      <c r="B87" s="2">
        <v>59.43</v>
      </c>
      <c r="C87" s="2">
        <v>146.33000000000001</v>
      </c>
      <c r="D87" s="2" t="s">
        <v>241</v>
      </c>
      <c r="E87" s="2" t="s">
        <v>242</v>
      </c>
      <c r="H87" s="2" t="s">
        <v>2787</v>
      </c>
      <c r="J87" s="7" t="str">
        <f t="shared" si="14"/>
        <v>Middleton I</v>
      </c>
      <c r="K87" s="7" t="str">
        <f t="shared" si="15"/>
        <v xml:space="preserve">,AK </v>
      </c>
      <c r="L87" s="7" t="str">
        <f t="shared" si="8"/>
        <v>,AK</v>
      </c>
      <c r="M87" s="7" t="str">
        <f t="shared" si="9"/>
        <v>AK</v>
      </c>
      <c r="N87" s="9">
        <f t="shared" si="12"/>
        <v>59.43</v>
      </c>
      <c r="O87" s="9">
        <f t="shared" si="13"/>
        <v>146.33000000000001</v>
      </c>
    </row>
    <row r="88" spans="1:15" x14ac:dyDescent="0.2">
      <c r="A88" s="1" t="s">
        <v>243</v>
      </c>
      <c r="B88" s="2">
        <v>63.9</v>
      </c>
      <c r="C88" s="2">
        <v>152.27000000000001</v>
      </c>
      <c r="D88" s="2" t="s">
        <v>244</v>
      </c>
      <c r="H88" s="2" t="s">
        <v>2788</v>
      </c>
      <c r="J88" s="7" t="str">
        <f t="shared" si="14"/>
        <v>Minchumina</v>
      </c>
      <c r="K88" s="7" t="str">
        <f t="shared" si="15"/>
        <v xml:space="preserve">AK  </v>
      </c>
      <c r="L88" s="7" t="str">
        <f t="shared" si="8"/>
        <v xml:space="preserve">AK </v>
      </c>
      <c r="M88" s="7" t="str">
        <f t="shared" si="9"/>
        <v xml:space="preserve">AK </v>
      </c>
      <c r="N88" s="9">
        <f t="shared" si="12"/>
        <v>63.9</v>
      </c>
      <c r="O88" s="9">
        <f t="shared" si="13"/>
        <v>152.27000000000001</v>
      </c>
    </row>
    <row r="89" spans="1:15" x14ac:dyDescent="0.2">
      <c r="A89" s="1" t="s">
        <v>245</v>
      </c>
      <c r="B89" s="2">
        <v>64.55</v>
      </c>
      <c r="C89" s="2">
        <v>149.08000000000001</v>
      </c>
      <c r="D89" s="2" t="s">
        <v>246</v>
      </c>
      <c r="H89" s="2" t="s">
        <v>2789</v>
      </c>
      <c r="J89" s="7" t="str">
        <f t="shared" si="14"/>
        <v>Nenana</v>
      </c>
      <c r="K89" s="7" t="str">
        <f t="shared" si="15"/>
        <v xml:space="preserve">AK  </v>
      </c>
      <c r="L89" s="7" t="str">
        <f t="shared" si="8"/>
        <v xml:space="preserve">AK </v>
      </c>
      <c r="M89" s="7" t="str">
        <f t="shared" si="9"/>
        <v xml:space="preserve">AK </v>
      </c>
      <c r="N89" s="9">
        <f t="shared" si="12"/>
        <v>64.55</v>
      </c>
      <c r="O89" s="9">
        <f t="shared" si="13"/>
        <v>149.08000000000001</v>
      </c>
    </row>
    <row r="90" spans="1:15" x14ac:dyDescent="0.2">
      <c r="A90" s="1" t="s">
        <v>247</v>
      </c>
      <c r="B90" s="2">
        <v>62.07</v>
      </c>
      <c r="C90" s="2">
        <v>163.30000000000001</v>
      </c>
      <c r="D90" s="2" t="s">
        <v>44</v>
      </c>
      <c r="E90" s="2" t="s">
        <v>248</v>
      </c>
      <c r="H90" s="2" t="s">
        <v>2790</v>
      </c>
      <c r="J90" s="7" t="str">
        <f t="shared" si="14"/>
        <v>New Andreaf</v>
      </c>
      <c r="K90" s="7" t="str">
        <f t="shared" si="15"/>
        <v xml:space="preserve">,AK </v>
      </c>
      <c r="L90" s="7" t="str">
        <f t="shared" ref="L90:L128" si="16">LEFT(K90,LEN(K90)-1)</f>
        <v>,AK</v>
      </c>
      <c r="M90" s="7" t="str">
        <f t="shared" ref="M90:M128" si="17">SUBSTITUTE(L90,",","")</f>
        <v>AK</v>
      </c>
      <c r="N90" s="9">
        <f t="shared" ref="N90:N121" si="18">B90</f>
        <v>62.07</v>
      </c>
      <c r="O90" s="9">
        <f t="shared" ref="O90:O121" si="19">C90</f>
        <v>163.30000000000001</v>
      </c>
    </row>
    <row r="91" spans="1:15" x14ac:dyDescent="0.2">
      <c r="A91" s="1" t="s">
        <v>249</v>
      </c>
      <c r="B91" s="2">
        <v>53.58</v>
      </c>
      <c r="C91" s="2">
        <v>169.42</v>
      </c>
      <c r="D91" s="2" t="s">
        <v>250</v>
      </c>
      <c r="H91" s="2" t="s">
        <v>2791</v>
      </c>
      <c r="J91" s="7" t="str">
        <f t="shared" si="14"/>
        <v>Nikolski</v>
      </c>
      <c r="K91" s="7" t="str">
        <f t="shared" si="15"/>
        <v xml:space="preserve">AK  </v>
      </c>
      <c r="L91" s="7" t="str">
        <f t="shared" si="16"/>
        <v xml:space="preserve">AK </v>
      </c>
      <c r="M91" s="7" t="str">
        <f t="shared" si="17"/>
        <v xml:space="preserve">AK </v>
      </c>
      <c r="N91" s="9">
        <f t="shared" si="18"/>
        <v>53.58</v>
      </c>
      <c r="O91" s="9">
        <f t="shared" si="19"/>
        <v>169.42</v>
      </c>
    </row>
    <row r="92" spans="1:15" x14ac:dyDescent="0.2">
      <c r="A92" s="1" t="s">
        <v>251</v>
      </c>
      <c r="B92" s="2">
        <v>64.5</v>
      </c>
      <c r="C92" s="2">
        <v>165.43</v>
      </c>
      <c r="D92" s="2" t="s">
        <v>252</v>
      </c>
      <c r="H92" s="2" t="s">
        <v>2792</v>
      </c>
      <c r="J92" s="7" t="str">
        <f t="shared" si="14"/>
        <v>Nome</v>
      </c>
      <c r="K92" s="7" t="str">
        <f t="shared" si="15"/>
        <v xml:space="preserve">AK  </v>
      </c>
      <c r="L92" s="7" t="str">
        <f t="shared" si="16"/>
        <v xml:space="preserve">AK </v>
      </c>
      <c r="M92" s="7" t="str">
        <f t="shared" si="17"/>
        <v xml:space="preserve">AK </v>
      </c>
      <c r="N92" s="9">
        <f t="shared" si="18"/>
        <v>64.5</v>
      </c>
      <c r="O92" s="9">
        <f t="shared" si="19"/>
        <v>165.43</v>
      </c>
    </row>
    <row r="93" spans="1:15" x14ac:dyDescent="0.2">
      <c r="A93" s="1" t="s">
        <v>253</v>
      </c>
      <c r="B93" s="2">
        <v>62.97</v>
      </c>
      <c r="C93" s="2">
        <v>141.93</v>
      </c>
      <c r="D93" s="2" t="s">
        <v>254</v>
      </c>
      <c r="H93" s="2" t="s">
        <v>2793</v>
      </c>
      <c r="J93" s="7" t="str">
        <f t="shared" si="14"/>
        <v>Northway</v>
      </c>
      <c r="K93" s="7" t="str">
        <f t="shared" si="15"/>
        <v xml:space="preserve">AK  </v>
      </c>
      <c r="L93" s="7" t="str">
        <f t="shared" si="16"/>
        <v xml:space="preserve">AK </v>
      </c>
      <c r="M93" s="7" t="str">
        <f t="shared" si="17"/>
        <v xml:space="preserve">AK </v>
      </c>
      <c r="N93" s="9">
        <f t="shared" si="18"/>
        <v>62.97</v>
      </c>
      <c r="O93" s="9">
        <f t="shared" si="19"/>
        <v>141.93</v>
      </c>
    </row>
    <row r="94" spans="1:15" x14ac:dyDescent="0.2">
      <c r="A94" s="1" t="s">
        <v>255</v>
      </c>
      <c r="B94" s="2">
        <v>70.5</v>
      </c>
      <c r="C94" s="2">
        <v>149.88</v>
      </c>
      <c r="D94" s="2" t="s">
        <v>256</v>
      </c>
      <c r="E94" s="2" t="s">
        <v>257</v>
      </c>
      <c r="H94" s="2" t="s">
        <v>2794</v>
      </c>
      <c r="J94" s="7" t="str">
        <f t="shared" si="14"/>
        <v>Oliktok De</v>
      </c>
      <c r="K94" s="7" t="str">
        <f t="shared" si="15"/>
        <v xml:space="preserve">,AK </v>
      </c>
      <c r="L94" s="7" t="str">
        <f t="shared" si="16"/>
        <v>,AK</v>
      </c>
      <c r="M94" s="7" t="str">
        <f t="shared" si="17"/>
        <v>AK</v>
      </c>
      <c r="N94" s="9">
        <f t="shared" si="18"/>
        <v>70.5</v>
      </c>
      <c r="O94" s="9">
        <f t="shared" si="19"/>
        <v>149.88</v>
      </c>
    </row>
    <row r="95" spans="1:15" x14ac:dyDescent="0.2">
      <c r="A95" s="1" t="s">
        <v>258</v>
      </c>
      <c r="B95" s="2">
        <v>61.6</v>
      </c>
      <c r="C95" s="2">
        <v>149.08000000000001</v>
      </c>
      <c r="D95" s="2" t="s">
        <v>259</v>
      </c>
      <c r="H95" s="2" t="s">
        <v>2795</v>
      </c>
      <c r="J95" s="7" t="str">
        <f t="shared" si="14"/>
        <v>Palmer</v>
      </c>
      <c r="K95" s="7" t="str">
        <f t="shared" si="15"/>
        <v xml:space="preserve">AK  </v>
      </c>
      <c r="L95" s="7" t="str">
        <f t="shared" si="16"/>
        <v xml:space="preserve">AK </v>
      </c>
      <c r="M95" s="7" t="str">
        <f t="shared" si="17"/>
        <v xml:space="preserve">AK </v>
      </c>
      <c r="N95" s="9">
        <f t="shared" si="18"/>
        <v>61.6</v>
      </c>
      <c r="O95" s="9">
        <f t="shared" si="19"/>
        <v>149.08000000000001</v>
      </c>
    </row>
    <row r="96" spans="1:15" x14ac:dyDescent="0.2">
      <c r="A96" s="1" t="s">
        <v>260</v>
      </c>
      <c r="B96" s="2">
        <v>63.03</v>
      </c>
      <c r="C96" s="2">
        <v>145.5</v>
      </c>
      <c r="D96" s="2" t="s">
        <v>261</v>
      </c>
      <c r="H96" s="2" t="s">
        <v>2796</v>
      </c>
      <c r="J96" s="7" t="str">
        <f t="shared" si="14"/>
        <v>Paxson</v>
      </c>
      <c r="K96" s="7" t="str">
        <f t="shared" si="15"/>
        <v xml:space="preserve">AK  </v>
      </c>
      <c r="L96" s="7" t="str">
        <f t="shared" si="16"/>
        <v xml:space="preserve">AK </v>
      </c>
      <c r="M96" s="7" t="str">
        <f t="shared" si="17"/>
        <v xml:space="preserve">AK </v>
      </c>
      <c r="N96" s="9">
        <f t="shared" si="18"/>
        <v>63.03</v>
      </c>
      <c r="O96" s="9">
        <f t="shared" si="19"/>
        <v>145.5</v>
      </c>
    </row>
    <row r="97" spans="1:15" x14ac:dyDescent="0.2">
      <c r="A97" s="1" t="s">
        <v>262</v>
      </c>
      <c r="B97" s="2">
        <v>56.82</v>
      </c>
      <c r="C97" s="2">
        <v>132.97</v>
      </c>
      <c r="D97" s="2" t="s">
        <v>263</v>
      </c>
      <c r="H97" s="2" t="s">
        <v>2797</v>
      </c>
      <c r="J97" s="7" t="str">
        <f t="shared" si="14"/>
        <v>Petersburg</v>
      </c>
      <c r="K97" s="7" t="str">
        <f t="shared" si="15"/>
        <v xml:space="preserve">AK  </v>
      </c>
      <c r="L97" s="7" t="str">
        <f t="shared" si="16"/>
        <v xml:space="preserve">AK </v>
      </c>
      <c r="M97" s="7" t="str">
        <f t="shared" si="17"/>
        <v xml:space="preserve">AK </v>
      </c>
      <c r="N97" s="9">
        <f t="shared" si="18"/>
        <v>56.82</v>
      </c>
      <c r="O97" s="9">
        <f t="shared" si="19"/>
        <v>132.97</v>
      </c>
    </row>
    <row r="98" spans="1:15" x14ac:dyDescent="0.2">
      <c r="A98" s="1" t="s">
        <v>264</v>
      </c>
      <c r="B98" s="2">
        <v>69.819999999999993</v>
      </c>
      <c r="C98" s="2">
        <v>162.91999999999999</v>
      </c>
      <c r="D98" s="2" t="s">
        <v>265</v>
      </c>
      <c r="E98" s="2" t="s">
        <v>266</v>
      </c>
      <c r="H98" s="2" t="s">
        <v>2798</v>
      </c>
      <c r="J98" s="7" t="str">
        <f t="shared" si="14"/>
        <v>Point La</v>
      </c>
      <c r="K98" s="7" t="str">
        <f t="shared" si="15"/>
        <v xml:space="preserve">,AK </v>
      </c>
      <c r="L98" s="7" t="str">
        <f t="shared" si="16"/>
        <v>,AK</v>
      </c>
      <c r="M98" s="7" t="str">
        <f t="shared" si="17"/>
        <v>AK</v>
      </c>
      <c r="N98" s="9">
        <f t="shared" si="18"/>
        <v>69.819999999999993</v>
      </c>
      <c r="O98" s="9">
        <f t="shared" si="19"/>
        <v>162.91999999999999</v>
      </c>
    </row>
    <row r="99" spans="1:15" x14ac:dyDescent="0.2">
      <c r="A99" s="1" t="s">
        <v>267</v>
      </c>
      <c r="B99" s="2">
        <v>56.25</v>
      </c>
      <c r="C99" s="2">
        <v>134.65</v>
      </c>
      <c r="D99" s="2" t="s">
        <v>268</v>
      </c>
      <c r="E99" s="2" t="s">
        <v>269</v>
      </c>
      <c r="H99" s="2" t="s">
        <v>2799</v>
      </c>
      <c r="J99" s="7" t="str">
        <f t="shared" si="14"/>
        <v>Port Alexnd</v>
      </c>
      <c r="K99" s="7" t="str">
        <f t="shared" si="15"/>
        <v xml:space="preserve">,AK </v>
      </c>
      <c r="L99" s="7" t="str">
        <f t="shared" si="16"/>
        <v>,AK</v>
      </c>
      <c r="M99" s="7" t="str">
        <f t="shared" si="17"/>
        <v>AK</v>
      </c>
      <c r="N99" s="9">
        <f t="shared" si="18"/>
        <v>56.25</v>
      </c>
      <c r="O99" s="9">
        <f t="shared" si="19"/>
        <v>134.65</v>
      </c>
    </row>
    <row r="100" spans="1:15" x14ac:dyDescent="0.2">
      <c r="A100" s="1" t="s">
        <v>270</v>
      </c>
      <c r="B100" s="2">
        <v>65.25</v>
      </c>
      <c r="C100" s="2">
        <v>166.87</v>
      </c>
      <c r="D100" s="2" t="s">
        <v>268</v>
      </c>
      <c r="E100" s="2" t="s">
        <v>271</v>
      </c>
      <c r="H100" s="2" t="s">
        <v>2800</v>
      </c>
      <c r="J100" s="7" t="str">
        <f t="shared" si="14"/>
        <v>Port Clarnc</v>
      </c>
      <c r="K100" s="7" t="str">
        <f t="shared" si="15"/>
        <v xml:space="preserve">,AK </v>
      </c>
      <c r="L100" s="7" t="str">
        <f t="shared" si="16"/>
        <v>,AK</v>
      </c>
      <c r="M100" s="7" t="str">
        <f t="shared" si="17"/>
        <v>AK</v>
      </c>
      <c r="N100" s="9">
        <f t="shared" si="18"/>
        <v>65.25</v>
      </c>
      <c r="O100" s="9">
        <f t="shared" si="19"/>
        <v>166.87</v>
      </c>
    </row>
    <row r="101" spans="1:15" x14ac:dyDescent="0.2">
      <c r="A101" s="1" t="s">
        <v>272</v>
      </c>
      <c r="B101" s="2">
        <v>56.95</v>
      </c>
      <c r="C101" s="2">
        <v>158.62</v>
      </c>
      <c r="D101" s="2" t="s">
        <v>268</v>
      </c>
      <c r="E101" s="2" t="s">
        <v>273</v>
      </c>
      <c r="H101" s="2" t="s">
        <v>2801</v>
      </c>
      <c r="J101" s="7" t="str">
        <f t="shared" si="14"/>
        <v>Port Heide</v>
      </c>
      <c r="K101" s="7" t="str">
        <f t="shared" si="15"/>
        <v xml:space="preserve">,AK </v>
      </c>
      <c r="L101" s="7" t="str">
        <f t="shared" si="16"/>
        <v>,AK</v>
      </c>
      <c r="M101" s="7" t="str">
        <f t="shared" si="17"/>
        <v>AK</v>
      </c>
      <c r="N101" s="9">
        <f t="shared" si="18"/>
        <v>56.95</v>
      </c>
      <c r="O101" s="9">
        <f t="shared" si="19"/>
        <v>158.62</v>
      </c>
    </row>
    <row r="102" spans="1:15" x14ac:dyDescent="0.2">
      <c r="A102" s="1" t="s">
        <v>274</v>
      </c>
      <c r="B102" s="2">
        <v>66.819999999999993</v>
      </c>
      <c r="C102" s="2">
        <v>150.65</v>
      </c>
      <c r="D102" s="2" t="s">
        <v>275</v>
      </c>
      <c r="E102" s="2" t="s">
        <v>276</v>
      </c>
      <c r="H102" s="2" t="s">
        <v>2802</v>
      </c>
      <c r="J102" s="7" t="str">
        <f t="shared" si="14"/>
        <v>Prospect Cr</v>
      </c>
      <c r="K102" s="7" t="str">
        <f t="shared" si="15"/>
        <v xml:space="preserve">,AK </v>
      </c>
      <c r="L102" s="7" t="str">
        <f t="shared" si="16"/>
        <v>,AK</v>
      </c>
      <c r="M102" s="7" t="str">
        <f t="shared" si="17"/>
        <v>AK</v>
      </c>
      <c r="N102" s="9">
        <f t="shared" si="18"/>
        <v>66.819999999999993</v>
      </c>
      <c r="O102" s="9">
        <f t="shared" si="19"/>
        <v>150.65</v>
      </c>
    </row>
    <row r="103" spans="1:15" x14ac:dyDescent="0.2">
      <c r="A103" s="1" t="s">
        <v>277</v>
      </c>
      <c r="B103" s="2">
        <v>70.25</v>
      </c>
      <c r="C103" s="2">
        <v>148.33000000000001</v>
      </c>
      <c r="D103" s="2" t="s">
        <v>278</v>
      </c>
      <c r="E103" s="2" t="s">
        <v>149</v>
      </c>
      <c r="H103" s="2" t="s">
        <v>2803</v>
      </c>
      <c r="J103" s="7" t="str">
        <f t="shared" si="14"/>
        <v>Prudhoe Ba</v>
      </c>
      <c r="K103" s="7" t="str">
        <f t="shared" si="15"/>
        <v xml:space="preserve">,AK </v>
      </c>
      <c r="L103" s="7" t="str">
        <f t="shared" si="16"/>
        <v>,AK</v>
      </c>
      <c r="M103" s="7" t="str">
        <f t="shared" si="17"/>
        <v>AK</v>
      </c>
      <c r="N103" s="9">
        <f t="shared" si="18"/>
        <v>70.25</v>
      </c>
      <c r="O103" s="9">
        <f t="shared" si="19"/>
        <v>148.33000000000001</v>
      </c>
    </row>
    <row r="104" spans="1:15" x14ac:dyDescent="0.2">
      <c r="A104" s="1" t="s">
        <v>279</v>
      </c>
      <c r="B104" s="2">
        <v>60.2</v>
      </c>
      <c r="C104" s="2">
        <v>154.30000000000001</v>
      </c>
      <c r="D104" s="2" t="s">
        <v>280</v>
      </c>
      <c r="E104" s="2" t="s">
        <v>281</v>
      </c>
      <c r="H104" s="2" t="s">
        <v>2804</v>
      </c>
      <c r="J104" s="7" t="str">
        <f t="shared" si="14"/>
        <v>Pt Alswort</v>
      </c>
      <c r="K104" s="7" t="str">
        <f t="shared" si="15"/>
        <v xml:space="preserve">,AK </v>
      </c>
      <c r="L104" s="7" t="str">
        <f t="shared" si="16"/>
        <v>,AK</v>
      </c>
      <c r="M104" s="7" t="str">
        <f t="shared" si="17"/>
        <v>AK</v>
      </c>
      <c r="N104" s="9">
        <f t="shared" si="18"/>
        <v>60.2</v>
      </c>
      <c r="O104" s="9">
        <f t="shared" si="19"/>
        <v>154.30000000000001</v>
      </c>
    </row>
    <row r="105" spans="1:15" x14ac:dyDescent="0.2">
      <c r="A105" s="1" t="s">
        <v>282</v>
      </c>
      <c r="B105" s="2">
        <v>62.17</v>
      </c>
      <c r="C105" s="2">
        <v>153.25</v>
      </c>
      <c r="D105" s="2" t="s">
        <v>283</v>
      </c>
      <c r="H105" s="2" t="s">
        <v>2805</v>
      </c>
      <c r="J105" s="7" t="str">
        <f t="shared" si="14"/>
        <v>Puntilla</v>
      </c>
      <c r="K105" s="7" t="str">
        <f t="shared" si="15"/>
        <v xml:space="preserve">AK  </v>
      </c>
      <c r="L105" s="7" t="str">
        <f t="shared" si="16"/>
        <v xml:space="preserve">AK </v>
      </c>
      <c r="M105" s="7" t="str">
        <f t="shared" si="17"/>
        <v xml:space="preserve">AK </v>
      </c>
      <c r="N105" s="9">
        <f t="shared" si="18"/>
        <v>62.17</v>
      </c>
      <c r="O105" s="9">
        <f t="shared" si="19"/>
        <v>153.25</v>
      </c>
    </row>
    <row r="106" spans="1:15" x14ac:dyDescent="0.2">
      <c r="A106" s="1" t="s">
        <v>284</v>
      </c>
      <c r="B106" s="2">
        <v>55.33</v>
      </c>
      <c r="C106" s="2">
        <v>160.5</v>
      </c>
      <c r="D106" s="2" t="s">
        <v>285</v>
      </c>
      <c r="E106" s="2" t="s">
        <v>286</v>
      </c>
      <c r="H106" s="2" t="s">
        <v>2806</v>
      </c>
      <c r="J106" s="7" t="str">
        <f t="shared" si="14"/>
        <v>Sand Poin</v>
      </c>
      <c r="K106" s="7" t="str">
        <f t="shared" si="15"/>
        <v xml:space="preserve">,AK </v>
      </c>
      <c r="L106" s="7" t="str">
        <f t="shared" si="16"/>
        <v>,AK</v>
      </c>
      <c r="M106" s="7" t="str">
        <f t="shared" si="17"/>
        <v>AK</v>
      </c>
      <c r="N106" s="9">
        <f t="shared" si="18"/>
        <v>55.33</v>
      </c>
      <c r="O106" s="9">
        <f t="shared" si="19"/>
        <v>160.5</v>
      </c>
    </row>
    <row r="107" spans="1:15" x14ac:dyDescent="0.2">
      <c r="A107" s="1" t="s">
        <v>287</v>
      </c>
      <c r="B107" s="2">
        <v>60.18</v>
      </c>
      <c r="C107" s="2">
        <v>149.75</v>
      </c>
      <c r="D107" s="2" t="s">
        <v>288</v>
      </c>
      <c r="H107" s="2" t="s">
        <v>2807</v>
      </c>
      <c r="J107" s="7" t="str">
        <f t="shared" si="14"/>
        <v>Seward</v>
      </c>
      <c r="K107" s="7" t="str">
        <f t="shared" si="15"/>
        <v xml:space="preserve">AK  </v>
      </c>
      <c r="L107" s="7" t="str">
        <f t="shared" si="16"/>
        <v xml:space="preserve">AK </v>
      </c>
      <c r="M107" s="7" t="str">
        <f t="shared" si="17"/>
        <v xml:space="preserve">AK </v>
      </c>
      <c r="N107" s="9">
        <f t="shared" si="18"/>
        <v>60.18</v>
      </c>
      <c r="O107" s="9">
        <f t="shared" si="19"/>
        <v>149.75</v>
      </c>
    </row>
    <row r="108" spans="1:15" x14ac:dyDescent="0.2">
      <c r="A108" s="1" t="s">
        <v>289</v>
      </c>
      <c r="B108" s="2">
        <v>53.2</v>
      </c>
      <c r="C108" s="2">
        <v>174.13</v>
      </c>
      <c r="D108" s="2" t="s">
        <v>290</v>
      </c>
      <c r="H108" s="2" t="s">
        <v>2808</v>
      </c>
      <c r="J108" s="7" t="str">
        <f t="shared" si="14"/>
        <v>Shemy</v>
      </c>
      <c r="K108" s="7" t="str">
        <f t="shared" si="15"/>
        <v xml:space="preserve">AK  </v>
      </c>
      <c r="L108" s="7" t="str">
        <f t="shared" si="16"/>
        <v xml:space="preserve">AK </v>
      </c>
      <c r="M108" s="7" t="str">
        <f t="shared" si="17"/>
        <v xml:space="preserve">AK </v>
      </c>
      <c r="N108" s="9">
        <f t="shared" si="18"/>
        <v>53.2</v>
      </c>
      <c r="O108" s="9">
        <f t="shared" si="19"/>
        <v>174.13</v>
      </c>
    </row>
    <row r="109" spans="1:15" x14ac:dyDescent="0.2">
      <c r="A109" s="1" t="s">
        <v>291</v>
      </c>
      <c r="B109" s="2">
        <v>66.27</v>
      </c>
      <c r="C109" s="2">
        <v>166.03</v>
      </c>
      <c r="D109" s="2" t="s">
        <v>292</v>
      </c>
      <c r="H109" s="2" t="s">
        <v>2809</v>
      </c>
      <c r="J109" s="7" t="str">
        <f t="shared" si="14"/>
        <v>Shishmaref</v>
      </c>
      <c r="K109" s="7" t="str">
        <f t="shared" si="15"/>
        <v xml:space="preserve">AK  </v>
      </c>
      <c r="L109" s="7" t="str">
        <f t="shared" si="16"/>
        <v xml:space="preserve">AK </v>
      </c>
      <c r="M109" s="7" t="str">
        <f t="shared" si="17"/>
        <v xml:space="preserve">AK </v>
      </c>
      <c r="N109" s="9">
        <f t="shared" si="18"/>
        <v>66.27</v>
      </c>
      <c r="O109" s="9">
        <f t="shared" si="19"/>
        <v>166.03</v>
      </c>
    </row>
    <row r="110" spans="1:15" x14ac:dyDescent="0.2">
      <c r="A110" s="1" t="s">
        <v>293</v>
      </c>
      <c r="B110" s="2">
        <v>57.07</v>
      </c>
      <c r="C110" s="2">
        <v>135.35</v>
      </c>
      <c r="D110" s="2" t="s">
        <v>294</v>
      </c>
      <c r="H110" s="2" t="s">
        <v>2810</v>
      </c>
      <c r="J110" s="7" t="str">
        <f t="shared" si="14"/>
        <v>Sitka</v>
      </c>
      <c r="K110" s="7" t="str">
        <f t="shared" si="15"/>
        <v xml:space="preserve">AK  </v>
      </c>
      <c r="L110" s="7" t="str">
        <f t="shared" si="16"/>
        <v xml:space="preserve">AK </v>
      </c>
      <c r="M110" s="7" t="str">
        <f t="shared" si="17"/>
        <v xml:space="preserve">AK </v>
      </c>
      <c r="N110" s="9">
        <f t="shared" si="18"/>
        <v>57.07</v>
      </c>
      <c r="O110" s="9">
        <f t="shared" si="19"/>
        <v>135.35</v>
      </c>
    </row>
    <row r="111" spans="1:15" x14ac:dyDescent="0.2">
      <c r="A111" s="1" t="s">
        <v>295</v>
      </c>
      <c r="B111" s="2">
        <v>56.88</v>
      </c>
      <c r="C111" s="2">
        <v>154.19999999999999</v>
      </c>
      <c r="D111" s="2" t="s">
        <v>296</v>
      </c>
      <c r="H111" s="2" t="s">
        <v>2811</v>
      </c>
      <c r="J111" s="7" t="str">
        <f t="shared" si="14"/>
        <v>Sitkinak</v>
      </c>
      <c r="K111" s="7" t="str">
        <f t="shared" si="15"/>
        <v xml:space="preserve">AK  </v>
      </c>
      <c r="L111" s="7" t="str">
        <f t="shared" si="16"/>
        <v xml:space="preserve">AK </v>
      </c>
      <c r="M111" s="7" t="str">
        <f t="shared" si="17"/>
        <v xml:space="preserve">AK </v>
      </c>
      <c r="N111" s="9">
        <f t="shared" si="18"/>
        <v>56.88</v>
      </c>
      <c r="O111" s="9">
        <f t="shared" si="19"/>
        <v>154.19999999999999</v>
      </c>
    </row>
    <row r="112" spans="1:15" x14ac:dyDescent="0.2">
      <c r="A112" s="1" t="s">
        <v>297</v>
      </c>
      <c r="B112" s="2">
        <v>59.75</v>
      </c>
      <c r="C112" s="2">
        <v>135.53</v>
      </c>
      <c r="D112" s="2" t="s">
        <v>298</v>
      </c>
      <c r="H112" s="2" t="s">
        <v>2812</v>
      </c>
      <c r="J112" s="7" t="str">
        <f t="shared" si="14"/>
        <v>Skagway</v>
      </c>
      <c r="K112" s="7" t="str">
        <f t="shared" si="15"/>
        <v xml:space="preserve">AK  </v>
      </c>
      <c r="L112" s="7" t="str">
        <f t="shared" si="16"/>
        <v xml:space="preserve">AK </v>
      </c>
      <c r="M112" s="7" t="str">
        <f t="shared" si="17"/>
        <v xml:space="preserve">AK </v>
      </c>
      <c r="N112" s="9">
        <f t="shared" si="18"/>
        <v>59.75</v>
      </c>
      <c r="O112" s="9">
        <f t="shared" si="19"/>
        <v>135.53</v>
      </c>
    </row>
    <row r="113" spans="1:15" x14ac:dyDescent="0.2">
      <c r="A113" s="1" t="s">
        <v>299</v>
      </c>
      <c r="B113" s="2">
        <v>61.97</v>
      </c>
      <c r="C113" s="2">
        <v>151.19999999999999</v>
      </c>
      <c r="D113" s="2" t="s">
        <v>300</v>
      </c>
      <c r="H113" s="2" t="s">
        <v>2813</v>
      </c>
      <c r="J113" s="7" t="str">
        <f t="shared" si="14"/>
        <v>Skwentna</v>
      </c>
      <c r="K113" s="7" t="str">
        <f t="shared" si="15"/>
        <v xml:space="preserve">AK  </v>
      </c>
      <c r="L113" s="7" t="str">
        <f t="shared" si="16"/>
        <v xml:space="preserve">AK </v>
      </c>
      <c r="M113" s="7" t="str">
        <f t="shared" si="17"/>
        <v xml:space="preserve">AK </v>
      </c>
      <c r="N113" s="9">
        <f t="shared" si="18"/>
        <v>61.97</v>
      </c>
      <c r="O113" s="9">
        <f t="shared" si="19"/>
        <v>151.19999999999999</v>
      </c>
    </row>
    <row r="114" spans="1:15" x14ac:dyDescent="0.2">
      <c r="A114" s="1" t="s">
        <v>301</v>
      </c>
      <c r="B114" s="2">
        <v>62.03</v>
      </c>
      <c r="C114" s="2">
        <v>146.66999999999999</v>
      </c>
      <c r="D114" s="2" t="s">
        <v>302</v>
      </c>
      <c r="E114" s="2" t="s">
        <v>127</v>
      </c>
      <c r="H114" s="2" t="s">
        <v>2814</v>
      </c>
      <c r="J114" s="7" t="str">
        <f t="shared" si="14"/>
        <v>Snowshoe L</v>
      </c>
      <c r="K114" s="7" t="str">
        <f t="shared" si="15"/>
        <v xml:space="preserve">,AK </v>
      </c>
      <c r="L114" s="7" t="str">
        <f t="shared" si="16"/>
        <v>,AK</v>
      </c>
      <c r="M114" s="7" t="str">
        <f t="shared" si="17"/>
        <v>AK</v>
      </c>
      <c r="N114" s="9">
        <f t="shared" si="18"/>
        <v>62.03</v>
      </c>
      <c r="O114" s="9">
        <f t="shared" si="19"/>
        <v>146.66999999999999</v>
      </c>
    </row>
    <row r="115" spans="1:15" x14ac:dyDescent="0.2">
      <c r="A115" s="1" t="s">
        <v>303</v>
      </c>
      <c r="B115" s="2">
        <v>57.15</v>
      </c>
      <c r="C115" s="2">
        <v>170.22</v>
      </c>
      <c r="D115" s="2" t="s">
        <v>138</v>
      </c>
      <c r="E115" s="2" t="s">
        <v>304</v>
      </c>
      <c r="F115" s="2" t="s">
        <v>242</v>
      </c>
      <c r="H115" s="2" t="s">
        <v>2815</v>
      </c>
      <c r="J115" s="7" t="str">
        <f t="shared" si="14"/>
        <v xml:space="preserve">St Paul </v>
      </c>
      <c r="K115" s="7" t="str">
        <f t="shared" si="15"/>
        <v>s,AK</v>
      </c>
      <c r="L115" s="7" t="str">
        <f t="shared" si="16"/>
        <v>s,A</v>
      </c>
      <c r="M115" s="7" t="str">
        <f t="shared" si="17"/>
        <v>sA</v>
      </c>
      <c r="N115" s="9">
        <f t="shared" si="18"/>
        <v>57.15</v>
      </c>
      <c r="O115" s="9">
        <f t="shared" si="19"/>
        <v>170.22</v>
      </c>
    </row>
    <row r="116" spans="1:15" x14ac:dyDescent="0.2">
      <c r="A116" s="1" t="s">
        <v>305</v>
      </c>
      <c r="B116" s="2">
        <v>61.9</v>
      </c>
      <c r="C116" s="2">
        <v>147.30000000000001</v>
      </c>
      <c r="D116" s="2" t="s">
        <v>306</v>
      </c>
      <c r="E116" s="2" t="s">
        <v>307</v>
      </c>
      <c r="H116" s="2" t="s">
        <v>2816</v>
      </c>
      <c r="J116" s="7" t="str">
        <f t="shared" si="14"/>
        <v>Tahneta Pas</v>
      </c>
      <c r="K116" s="7" t="str">
        <f t="shared" si="15"/>
        <v xml:space="preserve">,AK </v>
      </c>
      <c r="L116" s="7" t="str">
        <f t="shared" si="16"/>
        <v>,AK</v>
      </c>
      <c r="M116" s="7" t="str">
        <f t="shared" si="17"/>
        <v>AK</v>
      </c>
      <c r="N116" s="9">
        <f t="shared" si="18"/>
        <v>61.9</v>
      </c>
      <c r="O116" s="9">
        <f t="shared" si="19"/>
        <v>147.30000000000001</v>
      </c>
    </row>
    <row r="117" spans="1:15" x14ac:dyDescent="0.2">
      <c r="A117" s="1" t="s">
        <v>308</v>
      </c>
      <c r="B117" s="2">
        <v>62.3</v>
      </c>
      <c r="C117" s="2">
        <v>150.1</v>
      </c>
      <c r="D117" s="2" t="s">
        <v>309</v>
      </c>
      <c r="H117" s="2" t="s">
        <v>2817</v>
      </c>
      <c r="J117" s="7" t="str">
        <f t="shared" si="14"/>
        <v>Talkeetna</v>
      </c>
      <c r="K117" s="7" t="str">
        <f t="shared" si="15"/>
        <v xml:space="preserve">AK  </v>
      </c>
      <c r="L117" s="7" t="str">
        <f t="shared" si="16"/>
        <v xml:space="preserve">AK </v>
      </c>
      <c r="M117" s="7" t="str">
        <f t="shared" si="17"/>
        <v xml:space="preserve">AK </v>
      </c>
      <c r="N117" s="9">
        <f t="shared" si="18"/>
        <v>62.3</v>
      </c>
      <c r="O117" s="9">
        <f t="shared" si="19"/>
        <v>150.1</v>
      </c>
    </row>
    <row r="118" spans="1:15" x14ac:dyDescent="0.2">
      <c r="A118" s="1" t="s">
        <v>310</v>
      </c>
      <c r="B118" s="2">
        <v>65.17</v>
      </c>
      <c r="C118" s="2">
        <v>152.1</v>
      </c>
      <c r="D118" s="2" t="s">
        <v>311</v>
      </c>
      <c r="H118" s="2" t="s">
        <v>2818</v>
      </c>
      <c r="J118" s="7" t="str">
        <f t="shared" si="14"/>
        <v>Tanana</v>
      </c>
      <c r="K118" s="7" t="str">
        <f t="shared" si="15"/>
        <v xml:space="preserve">AK  </v>
      </c>
      <c r="L118" s="7" t="str">
        <f t="shared" si="16"/>
        <v xml:space="preserve">AK </v>
      </c>
      <c r="M118" s="7" t="str">
        <f t="shared" si="17"/>
        <v xml:space="preserve">AK </v>
      </c>
      <c r="N118" s="9">
        <f t="shared" si="18"/>
        <v>65.17</v>
      </c>
      <c r="O118" s="9">
        <f t="shared" si="19"/>
        <v>152.1</v>
      </c>
    </row>
    <row r="119" spans="1:15" x14ac:dyDescent="0.2">
      <c r="A119" s="1" t="s">
        <v>312</v>
      </c>
      <c r="B119" s="2">
        <v>69.37</v>
      </c>
      <c r="C119" s="2">
        <v>152.13</v>
      </c>
      <c r="D119" s="2" t="s">
        <v>313</v>
      </c>
      <c r="H119" s="2" t="s">
        <v>2819</v>
      </c>
      <c r="J119" s="7" t="str">
        <f t="shared" si="14"/>
        <v>Umiat</v>
      </c>
      <c r="K119" s="7" t="str">
        <f t="shared" si="15"/>
        <v xml:space="preserve">AK  </v>
      </c>
      <c r="L119" s="7" t="str">
        <f t="shared" si="16"/>
        <v xml:space="preserve">AK </v>
      </c>
      <c r="M119" s="7" t="str">
        <f t="shared" si="17"/>
        <v xml:space="preserve">AK </v>
      </c>
      <c r="N119" s="9">
        <f t="shared" si="18"/>
        <v>69.37</v>
      </c>
      <c r="O119" s="9">
        <f t="shared" si="19"/>
        <v>152.13</v>
      </c>
    </row>
    <row r="120" spans="1:15" x14ac:dyDescent="0.2">
      <c r="A120" s="1" t="s">
        <v>314</v>
      </c>
      <c r="B120" s="2">
        <v>63.88</v>
      </c>
      <c r="C120" s="2">
        <v>160.80000000000001</v>
      </c>
      <c r="D120" s="2" t="s">
        <v>315</v>
      </c>
      <c r="H120" s="2" t="s">
        <v>2820</v>
      </c>
      <c r="J120" s="7" t="str">
        <f t="shared" si="14"/>
        <v>Unalakleet</v>
      </c>
      <c r="K120" s="7" t="str">
        <f t="shared" si="15"/>
        <v xml:space="preserve">AK  </v>
      </c>
      <c r="L120" s="7" t="str">
        <f t="shared" si="16"/>
        <v xml:space="preserve">AK </v>
      </c>
      <c r="M120" s="7" t="str">
        <f t="shared" si="17"/>
        <v xml:space="preserve">AK </v>
      </c>
      <c r="N120" s="9">
        <f t="shared" si="18"/>
        <v>63.88</v>
      </c>
      <c r="O120" s="9">
        <f t="shared" si="19"/>
        <v>160.80000000000001</v>
      </c>
    </row>
    <row r="121" spans="1:15" x14ac:dyDescent="0.2">
      <c r="A121" s="1" t="s">
        <v>316</v>
      </c>
      <c r="B121" s="2">
        <v>61.13</v>
      </c>
      <c r="C121" s="2">
        <v>146.35</v>
      </c>
      <c r="D121" s="2" t="s">
        <v>317</v>
      </c>
      <c r="H121" s="2" t="s">
        <v>2821</v>
      </c>
      <c r="J121" s="7" t="str">
        <f t="shared" si="14"/>
        <v>Valdez</v>
      </c>
      <c r="K121" s="7" t="str">
        <f t="shared" si="15"/>
        <v xml:space="preserve">AK  </v>
      </c>
      <c r="L121" s="7" t="str">
        <f t="shared" si="16"/>
        <v xml:space="preserve">AK </v>
      </c>
      <c r="M121" s="7" t="str">
        <f t="shared" si="17"/>
        <v xml:space="preserve">AK </v>
      </c>
      <c r="N121" s="9">
        <f t="shared" si="18"/>
        <v>61.13</v>
      </c>
      <c r="O121" s="9">
        <f t="shared" si="19"/>
        <v>146.35</v>
      </c>
    </row>
    <row r="122" spans="1:15" x14ac:dyDescent="0.2">
      <c r="A122" s="1" t="s">
        <v>318</v>
      </c>
      <c r="B122" s="2">
        <v>61.13</v>
      </c>
      <c r="C122" s="2">
        <v>146.25</v>
      </c>
      <c r="D122" s="2" t="s">
        <v>319</v>
      </c>
      <c r="E122" s="2" t="s">
        <v>320</v>
      </c>
      <c r="H122" s="2" t="s">
        <v>2822</v>
      </c>
      <c r="J122" s="7" t="str">
        <f t="shared" si="14"/>
        <v xml:space="preserve">Valdez </v>
      </c>
      <c r="K122" s="7" t="str">
        <f t="shared" si="15"/>
        <v xml:space="preserve">,AK </v>
      </c>
      <c r="L122" s="7" t="str">
        <f t="shared" si="16"/>
        <v>,AK</v>
      </c>
      <c r="M122" s="7" t="str">
        <f t="shared" si="17"/>
        <v>AK</v>
      </c>
      <c r="N122" s="9">
        <f t="shared" ref="N122:N128" si="20">B122</f>
        <v>61.13</v>
      </c>
      <c r="O122" s="9">
        <f t="shared" ref="O122:O128" si="21">C122</f>
        <v>146.25</v>
      </c>
    </row>
    <row r="123" spans="1:15" x14ac:dyDescent="0.2">
      <c r="A123" s="1" t="s">
        <v>321</v>
      </c>
      <c r="B123" s="2">
        <v>70.62</v>
      </c>
      <c r="C123" s="2">
        <v>159.85</v>
      </c>
      <c r="D123" s="2" t="s">
        <v>322</v>
      </c>
      <c r="H123" s="2" t="s">
        <v>2823</v>
      </c>
      <c r="J123" s="7" t="str">
        <f t="shared" si="14"/>
        <v>Wainwright</v>
      </c>
      <c r="K123" s="7" t="str">
        <f t="shared" si="15"/>
        <v xml:space="preserve">AK  </v>
      </c>
      <c r="L123" s="7" t="str">
        <f t="shared" si="16"/>
        <v xml:space="preserve">AK </v>
      </c>
      <c r="M123" s="7" t="str">
        <f t="shared" si="17"/>
        <v xml:space="preserve">AK </v>
      </c>
      <c r="N123" s="9">
        <f t="shared" si="20"/>
        <v>70.62</v>
      </c>
      <c r="O123" s="9">
        <f t="shared" si="21"/>
        <v>159.85</v>
      </c>
    </row>
    <row r="124" spans="1:15" x14ac:dyDescent="0.2">
      <c r="A124" s="1" t="s">
        <v>323</v>
      </c>
      <c r="B124" s="2">
        <v>66.03</v>
      </c>
      <c r="C124" s="2">
        <v>168.08</v>
      </c>
      <c r="D124" s="2" t="s">
        <v>324</v>
      </c>
      <c r="H124" s="2" t="s">
        <v>2824</v>
      </c>
      <c r="J124" s="7" t="str">
        <f t="shared" si="14"/>
        <v>Wales</v>
      </c>
      <c r="K124" s="7" t="str">
        <f t="shared" si="15"/>
        <v xml:space="preserve">AK  </v>
      </c>
      <c r="L124" s="7" t="str">
        <f t="shared" si="16"/>
        <v xml:space="preserve">AK </v>
      </c>
      <c r="M124" s="7" t="str">
        <f t="shared" si="17"/>
        <v xml:space="preserve">AK </v>
      </c>
      <c r="N124" s="9">
        <f t="shared" si="20"/>
        <v>66.03</v>
      </c>
      <c r="O124" s="9">
        <f t="shared" si="21"/>
        <v>168.08</v>
      </c>
    </row>
    <row r="125" spans="1:15" x14ac:dyDescent="0.2">
      <c r="A125" s="1" t="s">
        <v>325</v>
      </c>
      <c r="B125" s="2">
        <v>60.78</v>
      </c>
      <c r="C125" s="2">
        <v>148.72</v>
      </c>
      <c r="D125" s="2" t="s">
        <v>326</v>
      </c>
      <c r="H125" s="2" t="s">
        <v>2825</v>
      </c>
      <c r="J125" s="7" t="str">
        <f t="shared" si="14"/>
        <v>Whittier</v>
      </c>
      <c r="K125" s="7" t="str">
        <f t="shared" si="15"/>
        <v xml:space="preserve">AK  </v>
      </c>
      <c r="L125" s="7" t="str">
        <f t="shared" si="16"/>
        <v xml:space="preserve">AK </v>
      </c>
      <c r="M125" s="7" t="str">
        <f t="shared" si="17"/>
        <v xml:space="preserve">AK </v>
      </c>
      <c r="N125" s="9">
        <f t="shared" si="20"/>
        <v>60.78</v>
      </c>
      <c r="O125" s="9">
        <f t="shared" si="21"/>
        <v>148.72</v>
      </c>
    </row>
    <row r="126" spans="1:15" x14ac:dyDescent="0.2">
      <c r="A126" s="1" t="s">
        <v>327</v>
      </c>
      <c r="B126" s="2">
        <v>61.75</v>
      </c>
      <c r="C126" s="2">
        <v>150.05000000000001</v>
      </c>
      <c r="D126" s="2" t="s">
        <v>328</v>
      </c>
      <c r="E126" s="2" t="s">
        <v>119</v>
      </c>
      <c r="H126" s="2" t="s">
        <v>2826</v>
      </c>
      <c r="J126" s="7" t="str">
        <f t="shared" si="14"/>
        <v>Willow Arp</v>
      </c>
      <c r="K126" s="7" t="str">
        <f t="shared" si="15"/>
        <v xml:space="preserve">,AK </v>
      </c>
      <c r="L126" s="7" t="str">
        <f t="shared" si="16"/>
        <v>,AK</v>
      </c>
      <c r="M126" s="7" t="str">
        <f t="shared" si="17"/>
        <v>AK</v>
      </c>
      <c r="N126" s="9">
        <f t="shared" si="20"/>
        <v>61.75</v>
      </c>
      <c r="O126" s="9">
        <f t="shared" si="21"/>
        <v>150.05000000000001</v>
      </c>
    </row>
    <row r="127" spans="1:15" x14ac:dyDescent="0.2">
      <c r="A127" s="1" t="s">
        <v>329</v>
      </c>
      <c r="B127" s="2">
        <v>56.48</v>
      </c>
      <c r="C127" s="2">
        <v>132.37</v>
      </c>
      <c r="D127" s="2" t="s">
        <v>330</v>
      </c>
      <c r="H127" s="2" t="s">
        <v>2827</v>
      </c>
      <c r="J127" s="7" t="str">
        <f t="shared" si="14"/>
        <v>Wrangell</v>
      </c>
      <c r="K127" s="7" t="str">
        <f t="shared" si="15"/>
        <v xml:space="preserve">AK  </v>
      </c>
      <c r="L127" s="7" t="str">
        <f t="shared" si="16"/>
        <v xml:space="preserve">AK </v>
      </c>
      <c r="M127" s="7" t="str">
        <f t="shared" si="17"/>
        <v xml:space="preserve">AK </v>
      </c>
      <c r="N127" s="9">
        <f t="shared" si="20"/>
        <v>56.48</v>
      </c>
      <c r="O127" s="9">
        <f t="shared" si="21"/>
        <v>132.37</v>
      </c>
    </row>
    <row r="128" spans="1:15" x14ac:dyDescent="0.2">
      <c r="A128" s="1" t="s">
        <v>331</v>
      </c>
      <c r="B128" s="2">
        <v>59.52</v>
      </c>
      <c r="C128" s="2">
        <v>139.66999999999999</v>
      </c>
      <c r="D128" s="2" t="s">
        <v>332</v>
      </c>
      <c r="H128" s="2" t="s">
        <v>2828</v>
      </c>
      <c r="J128" s="7" t="str">
        <f t="shared" si="14"/>
        <v>Yakutat</v>
      </c>
      <c r="K128" s="7" t="str">
        <f t="shared" si="15"/>
        <v xml:space="preserve">AK  </v>
      </c>
      <c r="L128" s="7" t="str">
        <f t="shared" si="16"/>
        <v xml:space="preserve">AK </v>
      </c>
      <c r="M128" s="7" t="str">
        <f t="shared" si="17"/>
        <v xml:space="preserve">AK </v>
      </c>
      <c r="N128" s="9">
        <f t="shared" si="20"/>
        <v>59.52</v>
      </c>
      <c r="O128" s="9">
        <f t="shared" si="21"/>
        <v>139.66999999999999</v>
      </c>
    </row>
    <row r="129" spans="1:15" x14ac:dyDescent="0.2">
      <c r="A129" s="4"/>
      <c r="H129" s="2" t="s">
        <v>2726</v>
      </c>
      <c r="J129" s="7"/>
      <c r="K129" s="7"/>
      <c r="L129" s="7"/>
      <c r="M129" s="7"/>
      <c r="N129" s="9"/>
      <c r="O129" s="9"/>
    </row>
    <row r="130" spans="1:15" x14ac:dyDescent="0.2">
      <c r="A130" s="1" t="s">
        <v>2</v>
      </c>
      <c r="H130" s="2" t="s">
        <v>2726</v>
      </c>
      <c r="J130" s="7"/>
      <c r="K130" s="7"/>
      <c r="L130" s="7"/>
      <c r="M130" s="7"/>
      <c r="N130" s="9"/>
      <c r="O130" s="9"/>
    </row>
    <row r="131" spans="1:15" x14ac:dyDescent="0.2">
      <c r="A131" s="4"/>
      <c r="H131" s="2" t="s">
        <v>2726</v>
      </c>
      <c r="J131" s="7"/>
      <c r="K131" s="7"/>
      <c r="L131" s="7"/>
      <c r="M131" s="7"/>
      <c r="N131" s="9"/>
      <c r="O131" s="9"/>
    </row>
    <row r="132" spans="1:15" x14ac:dyDescent="0.2">
      <c r="A132" s="4"/>
      <c r="H132" s="2" t="s">
        <v>2726</v>
      </c>
      <c r="J132" s="7"/>
      <c r="K132" s="7"/>
      <c r="L132" s="7"/>
      <c r="M132" s="7"/>
      <c r="N132" s="9"/>
      <c r="O132" s="9"/>
    </row>
    <row r="133" spans="1:15" x14ac:dyDescent="0.2">
      <c r="A133" s="1" t="s">
        <v>333</v>
      </c>
      <c r="B133" s="2">
        <v>32.17</v>
      </c>
      <c r="C133" s="2">
        <v>110.88</v>
      </c>
      <c r="D133" s="2" t="s">
        <v>334</v>
      </c>
      <c r="E133" s="2" t="s">
        <v>335</v>
      </c>
      <c r="H133" s="2" t="s">
        <v>2829</v>
      </c>
      <c r="J133" s="7" t="str">
        <f t="shared" si="14"/>
        <v>Davis-M AF</v>
      </c>
      <c r="K133" s="7" t="str">
        <f t="shared" si="15"/>
        <v xml:space="preserve">,AZ </v>
      </c>
      <c r="L133" s="7" t="str">
        <f t="shared" ref="L133:L157" si="22">LEFT(K133,LEN(K133)-1)</f>
        <v>,AZ</v>
      </c>
      <c r="M133" s="7" t="str">
        <f t="shared" ref="M133:M157" si="23">SUBSTITUTE(L133,",","")</f>
        <v>AZ</v>
      </c>
      <c r="N133" s="9">
        <f t="shared" ref="N133:N157" si="24">B133</f>
        <v>32.17</v>
      </c>
      <c r="O133" s="9">
        <f t="shared" ref="O133:O157" si="25">C133</f>
        <v>110.88</v>
      </c>
    </row>
    <row r="134" spans="1:15" x14ac:dyDescent="0.2">
      <c r="A134" s="1" t="s">
        <v>336</v>
      </c>
      <c r="B134" s="2">
        <v>33.68</v>
      </c>
      <c r="C134" s="2">
        <v>112.08</v>
      </c>
      <c r="D134" s="2" t="s">
        <v>337</v>
      </c>
      <c r="E134" s="2" t="s">
        <v>338</v>
      </c>
      <c r="H134" s="2" t="s">
        <v>2830</v>
      </c>
      <c r="J134" s="7" t="str">
        <f t="shared" si="14"/>
        <v>Deer Valle</v>
      </c>
      <c r="K134" s="7" t="str">
        <f t="shared" si="15"/>
        <v xml:space="preserve">,AZ </v>
      </c>
      <c r="L134" s="7" t="str">
        <f t="shared" si="22"/>
        <v>,AZ</v>
      </c>
      <c r="M134" s="7" t="str">
        <f t="shared" si="23"/>
        <v>AZ</v>
      </c>
      <c r="N134" s="9">
        <f t="shared" si="24"/>
        <v>33.68</v>
      </c>
      <c r="O134" s="9">
        <f t="shared" si="25"/>
        <v>112.08</v>
      </c>
    </row>
    <row r="135" spans="1:15" x14ac:dyDescent="0.2">
      <c r="A135" s="1" t="s">
        <v>339</v>
      </c>
      <c r="B135" s="2">
        <v>31.45</v>
      </c>
      <c r="C135" s="2">
        <v>109.6</v>
      </c>
      <c r="D135" s="2" t="s">
        <v>340</v>
      </c>
      <c r="H135" s="2" t="s">
        <v>2831</v>
      </c>
      <c r="J135" s="7" t="str">
        <f t="shared" si="14"/>
        <v>Douglas</v>
      </c>
      <c r="K135" s="7" t="str">
        <f t="shared" si="15"/>
        <v xml:space="preserve">AZ  </v>
      </c>
      <c r="L135" s="7" t="str">
        <f t="shared" si="22"/>
        <v xml:space="preserve">AZ </v>
      </c>
      <c r="M135" s="7" t="str">
        <f t="shared" si="23"/>
        <v xml:space="preserve">AZ </v>
      </c>
      <c r="N135" s="9">
        <f t="shared" si="24"/>
        <v>31.45</v>
      </c>
      <c r="O135" s="9">
        <f t="shared" si="25"/>
        <v>109.6</v>
      </c>
    </row>
    <row r="136" spans="1:15" x14ac:dyDescent="0.2">
      <c r="A136" s="1" t="s">
        <v>341</v>
      </c>
      <c r="B136" s="2">
        <v>33.47</v>
      </c>
      <c r="C136" s="2">
        <v>111.73</v>
      </c>
      <c r="D136" s="2" t="s">
        <v>342</v>
      </c>
      <c r="E136" s="2" t="s">
        <v>343</v>
      </c>
      <c r="H136" s="2" t="s">
        <v>2832</v>
      </c>
      <c r="J136" s="7" t="str">
        <f t="shared" si="14"/>
        <v>Falcon Fl</v>
      </c>
      <c r="K136" s="7" t="str">
        <f t="shared" si="15"/>
        <v xml:space="preserve">,AZ </v>
      </c>
      <c r="L136" s="7" t="str">
        <f t="shared" si="22"/>
        <v>,AZ</v>
      </c>
      <c r="M136" s="7" t="str">
        <f t="shared" si="23"/>
        <v>AZ</v>
      </c>
      <c r="N136" s="9">
        <f t="shared" si="24"/>
        <v>33.47</v>
      </c>
      <c r="O136" s="9">
        <f t="shared" si="25"/>
        <v>111.73</v>
      </c>
    </row>
    <row r="137" spans="1:15" x14ac:dyDescent="0.2">
      <c r="A137" s="1" t="s">
        <v>344</v>
      </c>
      <c r="B137" s="2">
        <v>35.130000000000003</v>
      </c>
      <c r="C137" s="2">
        <v>111.67</v>
      </c>
      <c r="D137" s="2" t="s">
        <v>345</v>
      </c>
      <c r="H137" s="2" t="s">
        <v>2833</v>
      </c>
      <c r="J137" s="7" t="str">
        <f t="shared" si="14"/>
        <v>Flagstaff</v>
      </c>
      <c r="K137" s="7" t="str">
        <f t="shared" si="15"/>
        <v xml:space="preserve">AZ  </v>
      </c>
      <c r="L137" s="7" t="str">
        <f t="shared" si="22"/>
        <v xml:space="preserve">AZ </v>
      </c>
      <c r="M137" s="7" t="str">
        <f t="shared" si="23"/>
        <v xml:space="preserve">AZ </v>
      </c>
      <c r="N137" s="9">
        <f t="shared" si="24"/>
        <v>35.130000000000003</v>
      </c>
      <c r="O137" s="9">
        <f t="shared" si="25"/>
        <v>111.67</v>
      </c>
    </row>
    <row r="138" spans="1:15" x14ac:dyDescent="0.2">
      <c r="A138" s="1" t="s">
        <v>346</v>
      </c>
      <c r="B138" s="2">
        <v>31.6</v>
      </c>
      <c r="C138" s="2">
        <v>110.35</v>
      </c>
      <c r="D138" s="2" t="s">
        <v>71</v>
      </c>
      <c r="E138" s="2" t="s">
        <v>347</v>
      </c>
      <c r="H138" s="2" t="s">
        <v>2834</v>
      </c>
      <c r="J138" s="7" t="str">
        <f t="shared" si="14"/>
        <v>Fort Huachu</v>
      </c>
      <c r="K138" s="7" t="str">
        <f t="shared" si="15"/>
        <v xml:space="preserve">,AZ </v>
      </c>
      <c r="L138" s="7" t="str">
        <f t="shared" si="22"/>
        <v>,AZ</v>
      </c>
      <c r="M138" s="7" t="str">
        <f t="shared" si="23"/>
        <v>AZ</v>
      </c>
      <c r="N138" s="9">
        <f t="shared" si="24"/>
        <v>31.6</v>
      </c>
      <c r="O138" s="9">
        <f t="shared" si="25"/>
        <v>110.35</v>
      </c>
    </row>
    <row r="139" spans="1:15" x14ac:dyDescent="0.2">
      <c r="A139" s="1" t="s">
        <v>348</v>
      </c>
      <c r="B139" s="2">
        <v>33.549999999999997</v>
      </c>
      <c r="C139" s="2">
        <v>113.17</v>
      </c>
      <c r="D139" s="2" t="s">
        <v>349</v>
      </c>
      <c r="E139" s="2" t="s">
        <v>350</v>
      </c>
      <c r="H139" s="2" t="s">
        <v>2835</v>
      </c>
      <c r="J139" s="7" t="str">
        <f t="shared" si="14"/>
        <v>Gila Ben</v>
      </c>
      <c r="K139" s="7" t="str">
        <f t="shared" si="15"/>
        <v xml:space="preserve">,AZ </v>
      </c>
      <c r="L139" s="7" t="str">
        <f t="shared" si="22"/>
        <v>,AZ</v>
      </c>
      <c r="M139" s="7" t="str">
        <f t="shared" si="23"/>
        <v>AZ</v>
      </c>
      <c r="N139" s="9">
        <f t="shared" si="24"/>
        <v>33.549999999999997</v>
      </c>
      <c r="O139" s="9">
        <f t="shared" si="25"/>
        <v>113.17</v>
      </c>
    </row>
    <row r="140" spans="1:15" x14ac:dyDescent="0.2">
      <c r="A140" s="1" t="s">
        <v>351</v>
      </c>
      <c r="B140" s="2">
        <v>33.42</v>
      </c>
      <c r="C140" s="2">
        <v>112.38</v>
      </c>
      <c r="D140" s="2" t="s">
        <v>352</v>
      </c>
      <c r="H140" s="2" t="s">
        <v>2836</v>
      </c>
      <c r="J140" s="7" t="str">
        <f t="shared" si="14"/>
        <v>Goodyear</v>
      </c>
      <c r="K140" s="7" t="str">
        <f t="shared" si="15"/>
        <v xml:space="preserve">AZ  </v>
      </c>
      <c r="L140" s="7" t="str">
        <f t="shared" si="22"/>
        <v xml:space="preserve">AZ </v>
      </c>
      <c r="M140" s="7" t="str">
        <f t="shared" si="23"/>
        <v xml:space="preserve">AZ </v>
      </c>
      <c r="N140" s="9">
        <f t="shared" si="24"/>
        <v>33.42</v>
      </c>
      <c r="O140" s="9">
        <f t="shared" si="25"/>
        <v>112.38</v>
      </c>
    </row>
    <row r="141" spans="1:15" x14ac:dyDescent="0.2">
      <c r="A141" s="1" t="s">
        <v>353</v>
      </c>
      <c r="B141" s="2">
        <v>35.950000000000003</v>
      </c>
      <c r="C141" s="2">
        <v>112.15</v>
      </c>
      <c r="D141" s="2" t="s">
        <v>354</v>
      </c>
      <c r="E141" s="2" t="s">
        <v>355</v>
      </c>
      <c r="H141" s="2" t="s">
        <v>2837</v>
      </c>
      <c r="J141" s="7" t="str">
        <f t="shared" si="14"/>
        <v>Grand Canyo</v>
      </c>
      <c r="K141" s="7" t="str">
        <f t="shared" si="15"/>
        <v xml:space="preserve">,AZ </v>
      </c>
      <c r="L141" s="7" t="str">
        <f t="shared" si="22"/>
        <v>,AZ</v>
      </c>
      <c r="M141" s="7" t="str">
        <f t="shared" si="23"/>
        <v>AZ</v>
      </c>
      <c r="N141" s="9">
        <f t="shared" si="24"/>
        <v>35.950000000000003</v>
      </c>
      <c r="O141" s="9">
        <f t="shared" si="25"/>
        <v>112.15</v>
      </c>
    </row>
    <row r="142" spans="1:15" x14ac:dyDescent="0.2">
      <c r="A142" s="1" t="s">
        <v>356</v>
      </c>
      <c r="B142" s="2">
        <v>35.270000000000003</v>
      </c>
      <c r="C142" s="2">
        <v>113.95</v>
      </c>
      <c r="D142" s="2" t="s">
        <v>357</v>
      </c>
      <c r="H142" s="2" t="s">
        <v>2838</v>
      </c>
      <c r="J142" s="7" t="str">
        <f t="shared" si="14"/>
        <v>Kingman</v>
      </c>
      <c r="K142" s="7" t="str">
        <f t="shared" si="15"/>
        <v xml:space="preserve">AZ  </v>
      </c>
      <c r="L142" s="7" t="str">
        <f t="shared" si="22"/>
        <v xml:space="preserve">AZ </v>
      </c>
      <c r="M142" s="7" t="str">
        <f t="shared" si="23"/>
        <v xml:space="preserve">AZ </v>
      </c>
      <c r="N142" s="9">
        <f t="shared" si="24"/>
        <v>35.270000000000003</v>
      </c>
      <c r="O142" s="9">
        <f t="shared" si="25"/>
        <v>113.95</v>
      </c>
    </row>
    <row r="143" spans="1:15" x14ac:dyDescent="0.2">
      <c r="A143" s="1" t="s">
        <v>358</v>
      </c>
      <c r="B143" s="2">
        <v>33.53</v>
      </c>
      <c r="C143" s="2">
        <v>112.38</v>
      </c>
      <c r="D143" s="2" t="s">
        <v>359</v>
      </c>
      <c r="H143" s="2" t="s">
        <v>2839</v>
      </c>
      <c r="J143" s="7" t="str">
        <f t="shared" si="14"/>
        <v>Luke</v>
      </c>
      <c r="K143" s="7" t="str">
        <f t="shared" si="15"/>
        <v xml:space="preserve">AZ  </v>
      </c>
      <c r="L143" s="7" t="str">
        <f t="shared" si="22"/>
        <v xml:space="preserve">AZ </v>
      </c>
      <c r="M143" s="7" t="str">
        <f t="shared" si="23"/>
        <v xml:space="preserve">AZ </v>
      </c>
      <c r="N143" s="9">
        <f t="shared" si="24"/>
        <v>33.53</v>
      </c>
      <c r="O143" s="9">
        <f t="shared" si="25"/>
        <v>112.38</v>
      </c>
    </row>
    <row r="144" spans="1:15" x14ac:dyDescent="0.2">
      <c r="A144" s="1" t="s">
        <v>360</v>
      </c>
      <c r="B144" s="2">
        <v>36.93</v>
      </c>
      <c r="C144" s="2">
        <v>111.45</v>
      </c>
      <c r="D144" s="2" t="s">
        <v>361</v>
      </c>
      <c r="H144" s="2" t="s">
        <v>2840</v>
      </c>
      <c r="J144" s="7" t="str">
        <f t="shared" si="14"/>
        <v>Page</v>
      </c>
      <c r="K144" s="7" t="str">
        <f t="shared" si="15"/>
        <v xml:space="preserve">AZ  </v>
      </c>
      <c r="L144" s="7" t="str">
        <f t="shared" si="22"/>
        <v xml:space="preserve">AZ </v>
      </c>
      <c r="M144" s="7" t="str">
        <f t="shared" si="23"/>
        <v xml:space="preserve">AZ </v>
      </c>
      <c r="N144" s="9">
        <f t="shared" si="24"/>
        <v>36.93</v>
      </c>
      <c r="O144" s="9">
        <f t="shared" si="25"/>
        <v>111.45</v>
      </c>
    </row>
    <row r="145" spans="1:15" x14ac:dyDescent="0.2">
      <c r="A145" s="1" t="s">
        <v>362</v>
      </c>
      <c r="B145" s="2">
        <v>34.229999999999997</v>
      </c>
      <c r="C145" s="2">
        <v>111.33</v>
      </c>
      <c r="D145" s="2" t="s">
        <v>363</v>
      </c>
      <c r="H145" s="2" t="s">
        <v>2841</v>
      </c>
      <c r="J145" s="7" t="str">
        <f t="shared" si="14"/>
        <v>Payson</v>
      </c>
      <c r="K145" s="7" t="str">
        <f t="shared" si="15"/>
        <v xml:space="preserve">AZ  </v>
      </c>
      <c r="L145" s="7" t="str">
        <f t="shared" si="22"/>
        <v xml:space="preserve">AZ </v>
      </c>
      <c r="M145" s="7" t="str">
        <f t="shared" si="23"/>
        <v xml:space="preserve">AZ </v>
      </c>
      <c r="N145" s="9">
        <f t="shared" si="24"/>
        <v>34.229999999999997</v>
      </c>
      <c r="O145" s="9">
        <f t="shared" si="25"/>
        <v>111.33</v>
      </c>
    </row>
    <row r="146" spans="1:15" x14ac:dyDescent="0.2">
      <c r="A146" s="1" t="s">
        <v>364</v>
      </c>
      <c r="B146" s="2">
        <v>33.43</v>
      </c>
      <c r="C146" s="2">
        <v>112.02</v>
      </c>
      <c r="D146" s="2" t="s">
        <v>365</v>
      </c>
      <c r="H146" s="2" t="s">
        <v>2842</v>
      </c>
      <c r="J146" s="7" t="str">
        <f t="shared" si="14"/>
        <v>Phoenix</v>
      </c>
      <c r="K146" s="7" t="str">
        <f t="shared" si="15"/>
        <v xml:space="preserve">AZ  </v>
      </c>
      <c r="L146" s="7" t="str">
        <f t="shared" si="22"/>
        <v xml:space="preserve">AZ </v>
      </c>
      <c r="M146" s="7" t="str">
        <f t="shared" si="23"/>
        <v xml:space="preserve">AZ </v>
      </c>
      <c r="N146" s="9">
        <f t="shared" si="24"/>
        <v>33.43</v>
      </c>
      <c r="O146" s="9">
        <f t="shared" si="25"/>
        <v>112.02</v>
      </c>
    </row>
    <row r="147" spans="1:15" x14ac:dyDescent="0.2">
      <c r="A147" s="1" t="s">
        <v>366</v>
      </c>
      <c r="B147" s="2">
        <v>34.65</v>
      </c>
      <c r="C147" s="2">
        <v>112.43</v>
      </c>
      <c r="D147" s="2" t="s">
        <v>367</v>
      </c>
      <c r="H147" s="2" t="s">
        <v>2843</v>
      </c>
      <c r="J147" s="7" t="str">
        <f t="shared" si="14"/>
        <v>Prescott</v>
      </c>
      <c r="K147" s="7" t="str">
        <f t="shared" si="15"/>
        <v xml:space="preserve">AZ  </v>
      </c>
      <c r="L147" s="7" t="str">
        <f t="shared" si="22"/>
        <v xml:space="preserve">AZ </v>
      </c>
      <c r="M147" s="7" t="str">
        <f t="shared" si="23"/>
        <v xml:space="preserve">AZ </v>
      </c>
      <c r="N147" s="9">
        <f t="shared" si="24"/>
        <v>34.65</v>
      </c>
      <c r="O147" s="9">
        <f t="shared" si="25"/>
        <v>112.43</v>
      </c>
    </row>
    <row r="148" spans="1:15" x14ac:dyDescent="0.2">
      <c r="A148" s="1" t="s">
        <v>368</v>
      </c>
      <c r="B148" s="2">
        <v>32.82</v>
      </c>
      <c r="C148" s="2">
        <v>109.68</v>
      </c>
      <c r="D148" s="2" t="s">
        <v>369</v>
      </c>
      <c r="E148" s="2" t="s">
        <v>370</v>
      </c>
      <c r="H148" s="2" t="s">
        <v>2844</v>
      </c>
      <c r="J148" s="7" t="str">
        <f t="shared" si="14"/>
        <v>Safford Awr</v>
      </c>
      <c r="K148" s="7" t="str">
        <f t="shared" si="15"/>
        <v xml:space="preserve">,AZ </v>
      </c>
      <c r="L148" s="7" t="str">
        <f t="shared" si="22"/>
        <v>,AZ</v>
      </c>
      <c r="M148" s="7" t="str">
        <f t="shared" si="23"/>
        <v>AZ</v>
      </c>
      <c r="N148" s="9">
        <f t="shared" si="24"/>
        <v>32.82</v>
      </c>
      <c r="O148" s="9">
        <f t="shared" si="25"/>
        <v>109.68</v>
      </c>
    </row>
    <row r="149" spans="1:15" x14ac:dyDescent="0.2">
      <c r="A149" s="1" t="s">
        <v>371</v>
      </c>
      <c r="B149" s="2">
        <v>33.619999999999997</v>
      </c>
      <c r="C149" s="2">
        <v>111.92</v>
      </c>
      <c r="D149" s="2" t="s">
        <v>372</v>
      </c>
      <c r="H149" s="2" t="s">
        <v>2845</v>
      </c>
      <c r="J149" s="7" t="str">
        <f t="shared" si="14"/>
        <v>Scottsdale</v>
      </c>
      <c r="K149" s="7" t="str">
        <f t="shared" si="15"/>
        <v xml:space="preserve">AZ  </v>
      </c>
      <c r="L149" s="7" t="str">
        <f t="shared" si="22"/>
        <v xml:space="preserve">AZ </v>
      </c>
      <c r="M149" s="7" t="str">
        <f t="shared" si="23"/>
        <v xml:space="preserve">AZ </v>
      </c>
      <c r="N149" s="9">
        <f t="shared" si="24"/>
        <v>33.619999999999997</v>
      </c>
      <c r="O149" s="9">
        <f t="shared" si="25"/>
        <v>111.92</v>
      </c>
    </row>
    <row r="150" spans="1:15" x14ac:dyDescent="0.2">
      <c r="A150" s="1" t="s">
        <v>373</v>
      </c>
      <c r="B150" s="2">
        <v>34.270000000000003</v>
      </c>
      <c r="C150" s="2">
        <v>110</v>
      </c>
      <c r="D150" s="2" t="s">
        <v>374</v>
      </c>
      <c r="E150" s="2" t="s">
        <v>375</v>
      </c>
      <c r="H150" s="2" t="s">
        <v>2846</v>
      </c>
      <c r="J150" s="7" t="str">
        <f t="shared" ref="J150:J213" si="26">LEFT(H150,LEN(H150)-5)</f>
        <v>Show Lo</v>
      </c>
      <c r="K150" s="7" t="str">
        <f t="shared" ref="K150:K213" si="27">RIGHT(H150,4)</f>
        <v xml:space="preserve">,AZ </v>
      </c>
      <c r="L150" s="7" t="str">
        <f t="shared" si="22"/>
        <v>,AZ</v>
      </c>
      <c r="M150" s="7" t="str">
        <f t="shared" si="23"/>
        <v>AZ</v>
      </c>
      <c r="N150" s="9">
        <f t="shared" si="24"/>
        <v>34.270000000000003</v>
      </c>
      <c r="O150" s="9">
        <f t="shared" si="25"/>
        <v>110</v>
      </c>
    </row>
    <row r="151" spans="1:15" x14ac:dyDescent="0.2">
      <c r="A151" s="1" t="s">
        <v>376</v>
      </c>
      <c r="B151" s="2">
        <v>34.270000000000003</v>
      </c>
      <c r="C151" s="2">
        <v>110</v>
      </c>
      <c r="D151" s="2" t="s">
        <v>374</v>
      </c>
      <c r="E151" s="2" t="s">
        <v>375</v>
      </c>
      <c r="H151" s="2" t="s">
        <v>2846</v>
      </c>
      <c r="J151" s="7" t="str">
        <f t="shared" si="26"/>
        <v>Show Lo</v>
      </c>
      <c r="K151" s="7" t="str">
        <f t="shared" si="27"/>
        <v xml:space="preserve">,AZ </v>
      </c>
      <c r="L151" s="7" t="str">
        <f t="shared" si="22"/>
        <v>,AZ</v>
      </c>
      <c r="M151" s="7" t="str">
        <f t="shared" si="23"/>
        <v>AZ</v>
      </c>
      <c r="N151" s="9">
        <f t="shared" si="24"/>
        <v>34.270000000000003</v>
      </c>
      <c r="O151" s="9">
        <f t="shared" si="25"/>
        <v>110</v>
      </c>
    </row>
    <row r="152" spans="1:15" x14ac:dyDescent="0.2">
      <c r="A152" s="1" t="s">
        <v>377</v>
      </c>
      <c r="B152" s="2">
        <v>32.119999999999997</v>
      </c>
      <c r="C152" s="2">
        <v>110.93</v>
      </c>
      <c r="D152" s="2" t="s">
        <v>378</v>
      </c>
      <c r="H152" s="2" t="s">
        <v>2847</v>
      </c>
      <c r="J152" s="7" t="str">
        <f t="shared" si="26"/>
        <v>Tucson</v>
      </c>
      <c r="K152" s="7" t="str">
        <f t="shared" si="27"/>
        <v xml:space="preserve">AZ  </v>
      </c>
      <c r="L152" s="7" t="str">
        <f t="shared" si="22"/>
        <v xml:space="preserve">AZ </v>
      </c>
      <c r="M152" s="7" t="str">
        <f t="shared" si="23"/>
        <v xml:space="preserve">AZ </v>
      </c>
      <c r="N152" s="9">
        <f t="shared" si="24"/>
        <v>32.119999999999997</v>
      </c>
      <c r="O152" s="9">
        <f t="shared" si="25"/>
        <v>110.93</v>
      </c>
    </row>
    <row r="153" spans="1:15" x14ac:dyDescent="0.2">
      <c r="A153" s="1" t="s">
        <v>379</v>
      </c>
      <c r="B153" s="2">
        <v>33.299999999999997</v>
      </c>
      <c r="C153" s="2">
        <v>111.67</v>
      </c>
      <c r="D153" s="2" t="s">
        <v>380</v>
      </c>
      <c r="E153" s="2" t="s">
        <v>335</v>
      </c>
      <c r="H153" s="2" t="s">
        <v>2848</v>
      </c>
      <c r="J153" s="7" t="str">
        <f t="shared" si="26"/>
        <v>Williams AF</v>
      </c>
      <c r="K153" s="7" t="str">
        <f t="shared" si="27"/>
        <v xml:space="preserve">,AZ </v>
      </c>
      <c r="L153" s="7" t="str">
        <f t="shared" si="22"/>
        <v>,AZ</v>
      </c>
      <c r="M153" s="7" t="str">
        <f t="shared" si="23"/>
        <v>AZ</v>
      </c>
      <c r="N153" s="9">
        <f t="shared" si="24"/>
        <v>33.299999999999997</v>
      </c>
      <c r="O153" s="9">
        <f t="shared" si="25"/>
        <v>111.67</v>
      </c>
    </row>
    <row r="154" spans="1:15" x14ac:dyDescent="0.2">
      <c r="A154" s="1" t="s">
        <v>381</v>
      </c>
      <c r="B154" s="2">
        <v>35.020000000000003</v>
      </c>
      <c r="C154" s="2">
        <v>110.73</v>
      </c>
      <c r="D154" s="2" t="s">
        <v>382</v>
      </c>
      <c r="H154" s="2" t="s">
        <v>2849</v>
      </c>
      <c r="J154" s="7" t="str">
        <f t="shared" si="26"/>
        <v>Winslow</v>
      </c>
      <c r="K154" s="7" t="str">
        <f t="shared" si="27"/>
        <v xml:space="preserve">AZ  </v>
      </c>
      <c r="L154" s="7" t="str">
        <f t="shared" si="22"/>
        <v xml:space="preserve">AZ </v>
      </c>
      <c r="M154" s="7" t="str">
        <f t="shared" si="23"/>
        <v xml:space="preserve">AZ </v>
      </c>
      <c r="N154" s="9">
        <f t="shared" si="24"/>
        <v>35.020000000000003</v>
      </c>
      <c r="O154" s="9">
        <f t="shared" si="25"/>
        <v>110.73</v>
      </c>
    </row>
    <row r="155" spans="1:15" x14ac:dyDescent="0.2">
      <c r="A155" s="1" t="s">
        <v>383</v>
      </c>
      <c r="B155" s="2">
        <v>33.1</v>
      </c>
      <c r="C155" s="2">
        <v>115</v>
      </c>
      <c r="D155" s="2" t="s">
        <v>384</v>
      </c>
      <c r="H155" s="2" t="s">
        <v>2850</v>
      </c>
      <c r="J155" s="7" t="str">
        <f t="shared" si="26"/>
        <v>Yuma</v>
      </c>
      <c r="K155" s="7" t="str">
        <f t="shared" si="27"/>
        <v xml:space="preserve">AZ  </v>
      </c>
      <c r="L155" s="7" t="str">
        <f t="shared" si="22"/>
        <v xml:space="preserve">AZ </v>
      </c>
      <c r="M155" s="7" t="str">
        <f t="shared" si="23"/>
        <v xml:space="preserve">AZ </v>
      </c>
      <c r="N155" s="9">
        <f t="shared" si="24"/>
        <v>33.1</v>
      </c>
      <c r="O155" s="9">
        <f t="shared" si="25"/>
        <v>115</v>
      </c>
    </row>
    <row r="156" spans="1:15" x14ac:dyDescent="0.2">
      <c r="A156" s="1" t="s">
        <v>385</v>
      </c>
      <c r="B156" s="2">
        <v>32.65</v>
      </c>
      <c r="C156" s="2">
        <v>114.62</v>
      </c>
      <c r="D156" s="2" t="s">
        <v>386</v>
      </c>
      <c r="E156" s="2" t="s">
        <v>387</v>
      </c>
      <c r="H156" s="2" t="s">
        <v>2851</v>
      </c>
      <c r="J156" s="7" t="str">
        <f t="shared" si="26"/>
        <v>Yuma Mca</v>
      </c>
      <c r="K156" s="7" t="str">
        <f t="shared" si="27"/>
        <v xml:space="preserve">,AZ </v>
      </c>
      <c r="L156" s="7" t="str">
        <f t="shared" si="22"/>
        <v>,AZ</v>
      </c>
      <c r="M156" s="7" t="str">
        <f t="shared" si="23"/>
        <v>AZ</v>
      </c>
      <c r="N156" s="9">
        <f t="shared" si="24"/>
        <v>32.65</v>
      </c>
      <c r="O156" s="9">
        <f t="shared" si="25"/>
        <v>114.62</v>
      </c>
    </row>
    <row r="157" spans="1:15" x14ac:dyDescent="0.2">
      <c r="A157" s="1" t="s">
        <v>388</v>
      </c>
      <c r="B157" s="2">
        <v>32.85</v>
      </c>
      <c r="C157" s="2">
        <v>114.4</v>
      </c>
      <c r="D157" s="2" t="s">
        <v>386</v>
      </c>
      <c r="E157" s="2" t="s">
        <v>389</v>
      </c>
      <c r="F157" s="2" t="s">
        <v>390</v>
      </c>
      <c r="H157" s="2" t="s">
        <v>2852</v>
      </c>
      <c r="J157" s="7" t="str">
        <f t="shared" si="26"/>
        <v xml:space="preserve">Yuma Prv </v>
      </c>
      <c r="K157" s="7" t="str">
        <f t="shared" si="27"/>
        <v>d,AZ</v>
      </c>
      <c r="L157" s="7" t="str">
        <f t="shared" si="22"/>
        <v>d,A</v>
      </c>
      <c r="M157" s="7" t="str">
        <f t="shared" si="23"/>
        <v>dA</v>
      </c>
      <c r="N157" s="9">
        <f t="shared" si="24"/>
        <v>32.85</v>
      </c>
      <c r="O157" s="9">
        <f t="shared" si="25"/>
        <v>114.4</v>
      </c>
    </row>
    <row r="158" spans="1:15" x14ac:dyDescent="0.2">
      <c r="A158" s="4"/>
      <c r="H158" s="2" t="s">
        <v>2726</v>
      </c>
      <c r="J158" s="7"/>
      <c r="K158" s="7"/>
      <c r="L158" s="7"/>
      <c r="M158" s="7"/>
      <c r="N158" s="9"/>
      <c r="O158" s="9"/>
    </row>
    <row r="159" spans="1:15" x14ac:dyDescent="0.2">
      <c r="A159" s="1" t="s">
        <v>3</v>
      </c>
      <c r="H159" s="2" t="s">
        <v>2726</v>
      </c>
      <c r="J159" s="7"/>
      <c r="K159" s="7"/>
      <c r="L159" s="7"/>
      <c r="M159" s="7"/>
      <c r="N159" s="9"/>
      <c r="O159" s="9"/>
    </row>
    <row r="160" spans="1:15" x14ac:dyDescent="0.2">
      <c r="A160" s="4"/>
      <c r="H160" s="2" t="s">
        <v>2726</v>
      </c>
      <c r="J160" s="7"/>
      <c r="K160" s="7"/>
      <c r="L160" s="7"/>
      <c r="M160" s="7"/>
      <c r="N160" s="9"/>
      <c r="O160" s="9"/>
    </row>
    <row r="161" spans="1:15" x14ac:dyDescent="0.2">
      <c r="A161" s="4"/>
      <c r="H161" s="2" t="s">
        <v>2726</v>
      </c>
      <c r="J161" s="7"/>
      <c r="K161" s="7"/>
      <c r="L161" s="7"/>
      <c r="M161" s="7"/>
      <c r="N161" s="9"/>
      <c r="O161" s="9"/>
    </row>
    <row r="162" spans="1:15" x14ac:dyDescent="0.2">
      <c r="A162" s="1" t="s">
        <v>391</v>
      </c>
      <c r="B162" s="2">
        <v>35.97</v>
      </c>
      <c r="C162" s="2">
        <v>89.95</v>
      </c>
      <c r="D162" s="2" t="s">
        <v>392</v>
      </c>
      <c r="H162" s="2" t="s">
        <v>2853</v>
      </c>
      <c r="J162" s="7" t="str">
        <f t="shared" si="26"/>
        <v>Blytheville</v>
      </c>
      <c r="K162" s="7" t="str">
        <f t="shared" si="27"/>
        <v xml:space="preserve">AR  </v>
      </c>
      <c r="L162" s="7" t="str">
        <f t="shared" ref="L162:L176" si="28">LEFT(K162,LEN(K162)-1)</f>
        <v xml:space="preserve">AR </v>
      </c>
      <c r="M162" s="7" t="str">
        <f t="shared" ref="M162:M176" si="29">SUBSTITUTE(L162,",","")</f>
        <v xml:space="preserve">AR </v>
      </c>
      <c r="N162" s="9">
        <f t="shared" ref="N162:N176" si="30">B162</f>
        <v>35.97</v>
      </c>
      <c r="O162" s="9">
        <f t="shared" ref="O162:O176" si="31">C162</f>
        <v>89.95</v>
      </c>
    </row>
    <row r="163" spans="1:15" x14ac:dyDescent="0.2">
      <c r="A163" s="1" t="s">
        <v>393</v>
      </c>
      <c r="B163" s="2">
        <v>33.520000000000003</v>
      </c>
      <c r="C163" s="2">
        <v>92.4</v>
      </c>
      <c r="D163" s="2" t="s">
        <v>394</v>
      </c>
      <c r="H163" s="2" t="s">
        <v>2854</v>
      </c>
      <c r="J163" s="7" t="str">
        <f t="shared" si="26"/>
        <v>Camden</v>
      </c>
      <c r="K163" s="7" t="str">
        <f t="shared" si="27"/>
        <v xml:space="preserve">AR  </v>
      </c>
      <c r="L163" s="7" t="str">
        <f t="shared" si="28"/>
        <v xml:space="preserve">AR </v>
      </c>
      <c r="M163" s="7" t="str">
        <f t="shared" si="29"/>
        <v xml:space="preserve">AR </v>
      </c>
      <c r="N163" s="9">
        <f t="shared" si="30"/>
        <v>33.520000000000003</v>
      </c>
      <c r="O163" s="9">
        <f t="shared" si="31"/>
        <v>92.4</v>
      </c>
    </row>
    <row r="164" spans="1:15" x14ac:dyDescent="0.2">
      <c r="A164" s="1" t="s">
        <v>395</v>
      </c>
      <c r="B164" s="2">
        <v>33.22</v>
      </c>
      <c r="C164" s="2">
        <v>92.8</v>
      </c>
      <c r="D164" s="2" t="s">
        <v>396</v>
      </c>
      <c r="E164" s="2" t="s">
        <v>397</v>
      </c>
      <c r="H164" s="2" t="s">
        <v>2855</v>
      </c>
      <c r="J164" s="7" t="str">
        <f t="shared" si="26"/>
        <v>El Dorad</v>
      </c>
      <c r="K164" s="7" t="str">
        <f t="shared" si="27"/>
        <v xml:space="preserve">,AR </v>
      </c>
      <c r="L164" s="7" t="str">
        <f t="shared" si="28"/>
        <v>,AR</v>
      </c>
      <c r="M164" s="7" t="str">
        <f t="shared" si="29"/>
        <v>AR</v>
      </c>
      <c r="N164" s="9">
        <f t="shared" si="30"/>
        <v>33.22</v>
      </c>
      <c r="O164" s="9">
        <f t="shared" si="31"/>
        <v>92.8</v>
      </c>
    </row>
    <row r="165" spans="1:15" x14ac:dyDescent="0.2">
      <c r="A165" s="1" t="s">
        <v>398</v>
      </c>
      <c r="B165" s="2">
        <v>36</v>
      </c>
      <c r="C165" s="2">
        <v>94.17</v>
      </c>
      <c r="D165" s="2" t="s">
        <v>399</v>
      </c>
      <c r="H165" s="2" t="s">
        <v>2856</v>
      </c>
      <c r="J165" s="7" t="str">
        <f t="shared" si="26"/>
        <v>Fayetteville</v>
      </c>
      <c r="K165" s="7" t="str">
        <f t="shared" si="27"/>
        <v xml:space="preserve">AR  </v>
      </c>
      <c r="L165" s="7" t="str">
        <f t="shared" si="28"/>
        <v xml:space="preserve">AR </v>
      </c>
      <c r="M165" s="7" t="str">
        <f t="shared" si="29"/>
        <v xml:space="preserve">AR </v>
      </c>
      <c r="N165" s="9">
        <f t="shared" si="30"/>
        <v>36</v>
      </c>
      <c r="O165" s="9">
        <f t="shared" si="31"/>
        <v>94.17</v>
      </c>
    </row>
    <row r="166" spans="1:15" x14ac:dyDescent="0.2">
      <c r="A166" s="1" t="s">
        <v>400</v>
      </c>
      <c r="B166" s="2">
        <v>35.33</v>
      </c>
      <c r="C166" s="2">
        <v>94.37</v>
      </c>
      <c r="D166" s="2" t="s">
        <v>401</v>
      </c>
      <c r="E166" s="2" t="s">
        <v>402</v>
      </c>
      <c r="H166" s="2" t="s">
        <v>2857</v>
      </c>
      <c r="J166" s="7" t="str">
        <f t="shared" si="26"/>
        <v>Ft Smit</v>
      </c>
      <c r="K166" s="7" t="str">
        <f t="shared" si="27"/>
        <v xml:space="preserve">,AR </v>
      </c>
      <c r="L166" s="7" t="str">
        <f t="shared" si="28"/>
        <v>,AR</v>
      </c>
      <c r="M166" s="7" t="str">
        <f t="shared" si="29"/>
        <v>AR</v>
      </c>
      <c r="N166" s="9">
        <f t="shared" si="30"/>
        <v>35.33</v>
      </c>
      <c r="O166" s="9">
        <f t="shared" si="31"/>
        <v>94.37</v>
      </c>
    </row>
    <row r="167" spans="1:15" x14ac:dyDescent="0.2">
      <c r="A167" s="1" t="s">
        <v>403</v>
      </c>
      <c r="B167" s="2">
        <v>36.270000000000003</v>
      </c>
      <c r="C167" s="2">
        <v>93.15</v>
      </c>
      <c r="D167" s="2" t="s">
        <v>404</v>
      </c>
      <c r="H167" s="2" t="s">
        <v>2858</v>
      </c>
      <c r="J167" s="7" t="str">
        <f t="shared" si="26"/>
        <v>Harrison</v>
      </c>
      <c r="K167" s="7" t="str">
        <f t="shared" si="27"/>
        <v xml:space="preserve">AR  </v>
      </c>
      <c r="L167" s="7" t="str">
        <f t="shared" si="28"/>
        <v xml:space="preserve">AR </v>
      </c>
      <c r="M167" s="7" t="str">
        <f t="shared" si="29"/>
        <v xml:space="preserve">AR </v>
      </c>
      <c r="N167" s="9">
        <f t="shared" si="30"/>
        <v>36.270000000000003</v>
      </c>
      <c r="O167" s="9">
        <f t="shared" si="31"/>
        <v>93.15</v>
      </c>
    </row>
    <row r="168" spans="1:15" x14ac:dyDescent="0.2">
      <c r="A168" s="1" t="s">
        <v>405</v>
      </c>
      <c r="B168" s="2">
        <v>34.479999999999997</v>
      </c>
      <c r="C168" s="2">
        <v>93.1</v>
      </c>
      <c r="D168" s="2" t="s">
        <v>406</v>
      </c>
      <c r="E168" s="2" t="s">
        <v>407</v>
      </c>
      <c r="H168" s="2" t="s">
        <v>2859</v>
      </c>
      <c r="J168" s="7" t="str">
        <f t="shared" si="26"/>
        <v>Hot Spring</v>
      </c>
      <c r="K168" s="7" t="str">
        <f t="shared" si="27"/>
        <v xml:space="preserve">,AR </v>
      </c>
      <c r="L168" s="7" t="str">
        <f t="shared" si="28"/>
        <v>,AR</v>
      </c>
      <c r="M168" s="7" t="str">
        <f t="shared" si="29"/>
        <v>AR</v>
      </c>
      <c r="N168" s="9">
        <f t="shared" si="30"/>
        <v>34.479999999999997</v>
      </c>
      <c r="O168" s="9">
        <f t="shared" si="31"/>
        <v>93.1</v>
      </c>
    </row>
    <row r="169" spans="1:15" x14ac:dyDescent="0.2">
      <c r="A169" s="1" t="s">
        <v>408</v>
      </c>
      <c r="B169" s="2">
        <v>35.83</v>
      </c>
      <c r="C169" s="2">
        <v>90.65</v>
      </c>
      <c r="D169" s="2" t="s">
        <v>409</v>
      </c>
      <c r="H169" s="2" t="s">
        <v>2860</v>
      </c>
      <c r="J169" s="7" t="str">
        <f t="shared" si="26"/>
        <v>Jonesboro</v>
      </c>
      <c r="K169" s="7" t="str">
        <f t="shared" si="27"/>
        <v xml:space="preserve">AR  </v>
      </c>
      <c r="L169" s="7" t="str">
        <f t="shared" si="28"/>
        <v xml:space="preserve">AR </v>
      </c>
      <c r="M169" s="7" t="str">
        <f t="shared" si="29"/>
        <v xml:space="preserve">AR </v>
      </c>
      <c r="N169" s="9">
        <f t="shared" si="30"/>
        <v>35.83</v>
      </c>
      <c r="O169" s="9">
        <f t="shared" si="31"/>
        <v>90.65</v>
      </c>
    </row>
    <row r="170" spans="1:15" x14ac:dyDescent="0.2">
      <c r="A170" s="1" t="s">
        <v>410</v>
      </c>
      <c r="B170" s="2">
        <v>35.22</v>
      </c>
      <c r="C170" s="2">
        <v>92.38</v>
      </c>
      <c r="D170" s="2" t="s">
        <v>411</v>
      </c>
      <c r="E170" s="2" t="s">
        <v>412</v>
      </c>
      <c r="H170" s="2" t="s">
        <v>3879</v>
      </c>
      <c r="J170" s="7" t="str">
        <f t="shared" si="26"/>
        <v>Little Rock</v>
      </c>
      <c r="K170" s="7" t="str">
        <f t="shared" si="27"/>
        <v xml:space="preserve">AR  </v>
      </c>
      <c r="L170" s="7" t="str">
        <f t="shared" si="28"/>
        <v xml:space="preserve">AR </v>
      </c>
      <c r="M170" s="7" t="str">
        <f t="shared" si="29"/>
        <v xml:space="preserve">AR </v>
      </c>
      <c r="N170" s="9">
        <f t="shared" si="30"/>
        <v>35.22</v>
      </c>
      <c r="O170" s="9">
        <f t="shared" si="31"/>
        <v>92.38</v>
      </c>
    </row>
    <row r="171" spans="1:15" x14ac:dyDescent="0.2">
      <c r="A171" s="1" t="s">
        <v>413</v>
      </c>
      <c r="B171" s="2">
        <v>34.92</v>
      </c>
      <c r="C171" s="2">
        <v>92.15</v>
      </c>
      <c r="D171" s="2" t="s">
        <v>411</v>
      </c>
      <c r="E171" s="2" t="s">
        <v>412</v>
      </c>
      <c r="H171" s="2" t="s">
        <v>2861</v>
      </c>
      <c r="J171" s="7" t="str">
        <f t="shared" si="26"/>
        <v>Little Roc</v>
      </c>
      <c r="K171" s="7" t="str">
        <f t="shared" si="27"/>
        <v xml:space="preserve">,AR </v>
      </c>
      <c r="L171" s="7" t="str">
        <f t="shared" si="28"/>
        <v>,AR</v>
      </c>
      <c r="M171" s="7" t="str">
        <f t="shared" si="29"/>
        <v>AR</v>
      </c>
      <c r="N171" s="9">
        <f t="shared" si="30"/>
        <v>34.92</v>
      </c>
      <c r="O171" s="9">
        <f t="shared" si="31"/>
        <v>92.15</v>
      </c>
    </row>
    <row r="172" spans="1:15" x14ac:dyDescent="0.2">
      <c r="A172" s="1" t="s">
        <v>414</v>
      </c>
      <c r="B172" s="2">
        <v>34.83</v>
      </c>
      <c r="C172" s="2">
        <v>92.25</v>
      </c>
      <c r="D172" s="2" t="s">
        <v>411</v>
      </c>
      <c r="E172" s="2" t="s">
        <v>412</v>
      </c>
      <c r="H172" s="2" t="s">
        <v>2861</v>
      </c>
      <c r="J172" s="7" t="str">
        <f t="shared" si="26"/>
        <v>Little Roc</v>
      </c>
      <c r="K172" s="7" t="str">
        <f t="shared" si="27"/>
        <v xml:space="preserve">,AR </v>
      </c>
      <c r="L172" s="7" t="str">
        <f t="shared" si="28"/>
        <v>,AR</v>
      </c>
      <c r="M172" s="7" t="str">
        <f t="shared" si="29"/>
        <v>AR</v>
      </c>
      <c r="N172" s="9">
        <f t="shared" si="30"/>
        <v>34.83</v>
      </c>
      <c r="O172" s="9">
        <f t="shared" si="31"/>
        <v>92.25</v>
      </c>
    </row>
    <row r="173" spans="1:15" x14ac:dyDescent="0.2">
      <c r="A173" s="1" t="s">
        <v>415</v>
      </c>
      <c r="B173" s="2">
        <v>34.17</v>
      </c>
      <c r="C173" s="2">
        <v>91.93</v>
      </c>
      <c r="D173" s="2" t="s">
        <v>416</v>
      </c>
      <c r="E173" s="2" t="s">
        <v>417</v>
      </c>
      <c r="H173" s="2" t="s">
        <v>2862</v>
      </c>
      <c r="J173" s="7" t="str">
        <f t="shared" si="26"/>
        <v>Pine Bluf</v>
      </c>
      <c r="K173" s="7" t="str">
        <f t="shared" si="27"/>
        <v xml:space="preserve">,AR </v>
      </c>
      <c r="L173" s="7" t="str">
        <f t="shared" si="28"/>
        <v>,AR</v>
      </c>
      <c r="M173" s="7" t="str">
        <f t="shared" si="29"/>
        <v>AR</v>
      </c>
      <c r="N173" s="9">
        <f t="shared" si="30"/>
        <v>34.17</v>
      </c>
      <c r="O173" s="9">
        <f t="shared" si="31"/>
        <v>91.93</v>
      </c>
    </row>
    <row r="174" spans="1:15" x14ac:dyDescent="0.2">
      <c r="A174" s="1" t="s">
        <v>418</v>
      </c>
      <c r="B174" s="2">
        <v>36.18</v>
      </c>
      <c r="C174" s="2">
        <v>94.13</v>
      </c>
      <c r="D174" s="2" t="s">
        <v>419</v>
      </c>
      <c r="H174" s="2" t="s">
        <v>2863</v>
      </c>
      <c r="J174" s="7" t="str">
        <f t="shared" si="26"/>
        <v>Springdale</v>
      </c>
      <c r="K174" s="7" t="str">
        <f t="shared" si="27"/>
        <v xml:space="preserve">AR  </v>
      </c>
      <c r="L174" s="7" t="str">
        <f t="shared" si="28"/>
        <v xml:space="preserve">AR </v>
      </c>
      <c r="M174" s="7" t="str">
        <f t="shared" si="29"/>
        <v xml:space="preserve">AR </v>
      </c>
      <c r="N174" s="9">
        <f t="shared" si="30"/>
        <v>36.18</v>
      </c>
      <c r="O174" s="9">
        <f t="shared" si="31"/>
        <v>94.13</v>
      </c>
    </row>
    <row r="175" spans="1:15" x14ac:dyDescent="0.2">
      <c r="A175" s="1" t="s">
        <v>420</v>
      </c>
      <c r="B175" s="2">
        <v>33.450000000000003</v>
      </c>
      <c r="C175" s="2">
        <v>94</v>
      </c>
      <c r="D175" s="2" t="s">
        <v>421</v>
      </c>
      <c r="H175" s="2" t="s">
        <v>2864</v>
      </c>
      <c r="J175" s="7" t="str">
        <f t="shared" si="26"/>
        <v>Texarkana</v>
      </c>
      <c r="K175" s="7" t="str">
        <f t="shared" si="27"/>
        <v xml:space="preserve">AR  </v>
      </c>
      <c r="L175" s="7" t="str">
        <f t="shared" si="28"/>
        <v xml:space="preserve">AR </v>
      </c>
      <c r="M175" s="7" t="str">
        <f t="shared" si="29"/>
        <v xml:space="preserve">AR </v>
      </c>
      <c r="N175" s="9">
        <f t="shared" si="30"/>
        <v>33.450000000000003</v>
      </c>
      <c r="O175" s="9">
        <f t="shared" si="31"/>
        <v>94</v>
      </c>
    </row>
    <row r="176" spans="1:15" x14ac:dyDescent="0.2">
      <c r="A176" s="1" t="s">
        <v>422</v>
      </c>
      <c r="B176" s="2">
        <v>36.130000000000003</v>
      </c>
      <c r="C176" s="2">
        <v>90.93</v>
      </c>
      <c r="D176" s="2" t="s">
        <v>423</v>
      </c>
      <c r="E176" s="2" t="s">
        <v>424</v>
      </c>
      <c r="H176" s="2" t="s">
        <v>2865</v>
      </c>
      <c r="J176" s="7" t="str">
        <f t="shared" si="26"/>
        <v>Walnut Ridg</v>
      </c>
      <c r="K176" s="7" t="str">
        <f t="shared" si="27"/>
        <v xml:space="preserve">,AR </v>
      </c>
      <c r="L176" s="7" t="str">
        <f t="shared" si="28"/>
        <v>,AR</v>
      </c>
      <c r="M176" s="7" t="str">
        <f t="shared" si="29"/>
        <v>AR</v>
      </c>
      <c r="N176" s="9">
        <f t="shared" si="30"/>
        <v>36.130000000000003</v>
      </c>
      <c r="O176" s="9">
        <f t="shared" si="31"/>
        <v>90.93</v>
      </c>
    </row>
    <row r="177" spans="1:15" x14ac:dyDescent="0.2">
      <c r="A177" s="4"/>
      <c r="H177" s="2" t="s">
        <v>2726</v>
      </c>
      <c r="J177" s="7"/>
      <c r="K177" s="7"/>
      <c r="L177" s="7"/>
      <c r="M177" s="7"/>
      <c r="N177" s="9"/>
      <c r="O177" s="9"/>
    </row>
    <row r="178" spans="1:15" x14ac:dyDescent="0.2">
      <c r="A178" s="1" t="s">
        <v>4</v>
      </c>
      <c r="H178" s="2" t="s">
        <v>2726</v>
      </c>
      <c r="J178" s="7"/>
      <c r="K178" s="7"/>
      <c r="L178" s="7"/>
      <c r="M178" s="7"/>
      <c r="N178" s="9"/>
      <c r="O178" s="9"/>
    </row>
    <row r="179" spans="1:15" x14ac:dyDescent="0.2">
      <c r="A179" s="4"/>
      <c r="H179" s="2" t="s">
        <v>2726</v>
      </c>
      <c r="J179" s="7"/>
      <c r="K179" s="7"/>
      <c r="L179" s="7"/>
      <c r="M179" s="7"/>
      <c r="N179" s="9"/>
      <c r="O179" s="9"/>
    </row>
    <row r="180" spans="1:15" x14ac:dyDescent="0.2">
      <c r="A180" s="1" t="s">
        <v>425</v>
      </c>
      <c r="B180" s="2">
        <v>37.78</v>
      </c>
      <c r="C180" s="2">
        <v>122.32</v>
      </c>
      <c r="D180" s="2" t="s">
        <v>426</v>
      </c>
      <c r="E180" s="2" t="s">
        <v>427</v>
      </c>
      <c r="H180" s="2" t="s">
        <v>2866</v>
      </c>
      <c r="J180" s="7" t="str">
        <f t="shared" si="26"/>
        <v>Alameda NA</v>
      </c>
      <c r="K180" s="7" t="str">
        <f t="shared" si="27"/>
        <v xml:space="preserve">,CA </v>
      </c>
      <c r="L180" s="7" t="str">
        <f t="shared" ref="L180:L243" si="32">LEFT(K180,LEN(K180)-1)</f>
        <v>,CA</v>
      </c>
      <c r="M180" s="7" t="str">
        <f t="shared" ref="M180:M243" si="33">SUBSTITUTE(L180,",","")</f>
        <v>CA</v>
      </c>
      <c r="N180" s="9">
        <f t="shared" ref="N180:N213" si="34">B180</f>
        <v>37.78</v>
      </c>
      <c r="O180" s="9">
        <f t="shared" ref="O180:O213" si="35">C180</f>
        <v>122.32</v>
      </c>
    </row>
    <row r="181" spans="1:15" x14ac:dyDescent="0.2">
      <c r="A181" s="1" t="s">
        <v>428</v>
      </c>
      <c r="B181" s="2">
        <v>41.48</v>
      </c>
      <c r="C181" s="2">
        <v>120.53</v>
      </c>
      <c r="D181" s="2" t="s">
        <v>429</v>
      </c>
      <c r="H181" s="2" t="s">
        <v>2867</v>
      </c>
      <c r="J181" s="7" t="str">
        <f t="shared" si="26"/>
        <v>Alturas</v>
      </c>
      <c r="K181" s="7" t="str">
        <f t="shared" si="27"/>
        <v xml:space="preserve">CA  </v>
      </c>
      <c r="L181" s="7" t="str">
        <f t="shared" si="32"/>
        <v xml:space="preserve">CA </v>
      </c>
      <c r="M181" s="7" t="str">
        <f t="shared" si="33"/>
        <v xml:space="preserve">CA </v>
      </c>
      <c r="N181" s="9">
        <f t="shared" si="34"/>
        <v>41.48</v>
      </c>
      <c r="O181" s="9">
        <f t="shared" si="35"/>
        <v>120.53</v>
      </c>
    </row>
    <row r="182" spans="1:15" x14ac:dyDescent="0.2">
      <c r="A182" s="1" t="s">
        <v>430</v>
      </c>
      <c r="B182" s="2">
        <v>40.98</v>
      </c>
      <c r="C182" s="2">
        <v>124.1</v>
      </c>
      <c r="D182" s="2" t="s">
        <v>431</v>
      </c>
      <c r="H182" s="2" t="s">
        <v>2868</v>
      </c>
      <c r="J182" s="7" t="str">
        <f t="shared" si="26"/>
        <v>Arcata</v>
      </c>
      <c r="K182" s="7" t="str">
        <f t="shared" si="27"/>
        <v xml:space="preserve">CA  </v>
      </c>
      <c r="L182" s="7" t="str">
        <f t="shared" si="32"/>
        <v xml:space="preserve">CA </v>
      </c>
      <c r="M182" s="7" t="str">
        <f t="shared" si="33"/>
        <v xml:space="preserve">CA </v>
      </c>
      <c r="N182" s="9">
        <f t="shared" si="34"/>
        <v>40.98</v>
      </c>
      <c r="O182" s="9">
        <f t="shared" si="35"/>
        <v>124.1</v>
      </c>
    </row>
    <row r="183" spans="1:15" x14ac:dyDescent="0.2">
      <c r="A183" s="1" t="s">
        <v>432</v>
      </c>
      <c r="B183" s="2">
        <v>35.43</v>
      </c>
      <c r="C183" s="2">
        <v>119.05</v>
      </c>
      <c r="D183" s="2" t="s">
        <v>433</v>
      </c>
      <c r="H183" s="2" t="s">
        <v>2869</v>
      </c>
      <c r="J183" s="7" t="str">
        <f t="shared" si="26"/>
        <v>Bakersfield</v>
      </c>
      <c r="K183" s="7" t="str">
        <f t="shared" si="27"/>
        <v xml:space="preserve">CA  </v>
      </c>
      <c r="L183" s="7" t="str">
        <f t="shared" si="32"/>
        <v xml:space="preserve">CA </v>
      </c>
      <c r="M183" s="7" t="str">
        <f t="shared" si="33"/>
        <v xml:space="preserve">CA </v>
      </c>
      <c r="N183" s="9">
        <f t="shared" si="34"/>
        <v>35.43</v>
      </c>
      <c r="O183" s="9">
        <f t="shared" si="35"/>
        <v>119.05</v>
      </c>
    </row>
    <row r="184" spans="1:15" x14ac:dyDescent="0.2">
      <c r="A184" s="1" t="s">
        <v>434</v>
      </c>
      <c r="B184" s="2">
        <v>39.130000000000003</v>
      </c>
      <c r="C184" s="2">
        <v>121.45</v>
      </c>
      <c r="D184" s="2" t="s">
        <v>435</v>
      </c>
      <c r="E184" s="2" t="s">
        <v>436</v>
      </c>
      <c r="H184" s="2" t="s">
        <v>2870</v>
      </c>
      <c r="J184" s="7" t="str">
        <f t="shared" si="26"/>
        <v>Beale AF</v>
      </c>
      <c r="K184" s="7" t="str">
        <f t="shared" si="27"/>
        <v xml:space="preserve">,CA </v>
      </c>
      <c r="L184" s="7" t="str">
        <f t="shared" si="32"/>
        <v>,CA</v>
      </c>
      <c r="M184" s="7" t="str">
        <f t="shared" si="33"/>
        <v>CA</v>
      </c>
      <c r="N184" s="9">
        <f t="shared" si="34"/>
        <v>39.130000000000003</v>
      </c>
      <c r="O184" s="9">
        <f t="shared" si="35"/>
        <v>121.45</v>
      </c>
    </row>
    <row r="185" spans="1:15" x14ac:dyDescent="0.2">
      <c r="A185" s="1" t="s">
        <v>437</v>
      </c>
      <c r="B185" s="2">
        <v>33.93</v>
      </c>
      <c r="C185" s="2">
        <v>116.95</v>
      </c>
      <c r="D185" s="2" t="s">
        <v>438</v>
      </c>
      <c r="H185" s="2" t="s">
        <v>2871</v>
      </c>
      <c r="J185" s="7" t="str">
        <f t="shared" si="26"/>
        <v>Beaumont</v>
      </c>
      <c r="K185" s="7" t="str">
        <f t="shared" si="27"/>
        <v xml:space="preserve">CA  </v>
      </c>
      <c r="L185" s="7" t="str">
        <f t="shared" si="32"/>
        <v xml:space="preserve">CA </v>
      </c>
      <c r="M185" s="7" t="str">
        <f t="shared" si="33"/>
        <v xml:space="preserve">CA </v>
      </c>
      <c r="N185" s="9">
        <f t="shared" si="34"/>
        <v>33.93</v>
      </c>
      <c r="O185" s="9">
        <f t="shared" si="35"/>
        <v>116.95</v>
      </c>
    </row>
    <row r="186" spans="1:15" x14ac:dyDescent="0.2">
      <c r="A186" s="1" t="s">
        <v>439</v>
      </c>
      <c r="B186" s="2">
        <v>35.28</v>
      </c>
      <c r="C186" s="2">
        <v>116.62</v>
      </c>
      <c r="D186" s="2" t="s">
        <v>440</v>
      </c>
      <c r="E186" s="2" t="s">
        <v>441</v>
      </c>
      <c r="H186" s="2" t="s">
        <v>2872</v>
      </c>
      <c r="J186" s="7" t="str">
        <f t="shared" si="26"/>
        <v>Bicycle L</v>
      </c>
      <c r="K186" s="7" t="str">
        <f t="shared" si="27"/>
        <v xml:space="preserve">,CA </v>
      </c>
      <c r="L186" s="7" t="str">
        <f t="shared" si="32"/>
        <v>,CA</v>
      </c>
      <c r="M186" s="7" t="str">
        <f t="shared" si="33"/>
        <v>CA</v>
      </c>
      <c r="N186" s="9">
        <f t="shared" si="34"/>
        <v>35.28</v>
      </c>
      <c r="O186" s="9">
        <f t="shared" si="35"/>
        <v>116.62</v>
      </c>
    </row>
    <row r="187" spans="1:15" x14ac:dyDescent="0.2">
      <c r="A187" s="1" t="s">
        <v>442</v>
      </c>
      <c r="B187" s="2">
        <v>34.270000000000003</v>
      </c>
      <c r="C187" s="2">
        <v>116.68</v>
      </c>
      <c r="D187" s="2" t="s">
        <v>123</v>
      </c>
      <c r="E187" s="2" t="s">
        <v>443</v>
      </c>
      <c r="F187" s="2" t="s">
        <v>444</v>
      </c>
      <c r="H187" s="2" t="s">
        <v>2873</v>
      </c>
      <c r="J187" s="7" t="str">
        <f t="shared" si="26"/>
        <v>Big Bear A</v>
      </c>
      <c r="K187" s="7" t="str">
        <f t="shared" si="27"/>
        <v>t,CA</v>
      </c>
      <c r="L187" s="7" t="str">
        <f t="shared" si="32"/>
        <v>t,C</v>
      </c>
      <c r="M187" s="7" t="str">
        <f t="shared" si="33"/>
        <v>tC</v>
      </c>
      <c r="N187" s="9">
        <f t="shared" si="34"/>
        <v>34.270000000000003</v>
      </c>
      <c r="O187" s="9">
        <f t="shared" si="35"/>
        <v>116.68</v>
      </c>
    </row>
    <row r="188" spans="1:15" x14ac:dyDescent="0.2">
      <c r="A188" s="1" t="s">
        <v>445</v>
      </c>
      <c r="B188" s="2">
        <v>37.6</v>
      </c>
      <c r="C188" s="2">
        <v>118.6</v>
      </c>
      <c r="D188" s="2" t="s">
        <v>446</v>
      </c>
      <c r="H188" s="2" t="s">
        <v>2874</v>
      </c>
      <c r="J188" s="7" t="str">
        <f t="shared" si="26"/>
        <v>Bishop</v>
      </c>
      <c r="K188" s="7" t="str">
        <f t="shared" si="27"/>
        <v xml:space="preserve">CA  </v>
      </c>
      <c r="L188" s="7" t="str">
        <f t="shared" si="32"/>
        <v xml:space="preserve">CA </v>
      </c>
      <c r="M188" s="7" t="str">
        <f t="shared" si="33"/>
        <v xml:space="preserve">CA </v>
      </c>
      <c r="N188" s="9">
        <f t="shared" si="34"/>
        <v>37.6</v>
      </c>
      <c r="O188" s="9">
        <f t="shared" si="35"/>
        <v>118.6</v>
      </c>
    </row>
    <row r="189" spans="1:15" x14ac:dyDescent="0.2">
      <c r="A189" s="1" t="s">
        <v>447</v>
      </c>
      <c r="B189" s="2">
        <v>39.28</v>
      </c>
      <c r="C189" s="2">
        <v>120.7</v>
      </c>
      <c r="D189" s="2" t="s">
        <v>448</v>
      </c>
      <c r="E189" s="2" t="s">
        <v>449</v>
      </c>
      <c r="H189" s="2" t="s">
        <v>2875</v>
      </c>
      <c r="J189" s="7" t="str">
        <f t="shared" si="26"/>
        <v>Blue Canyo</v>
      </c>
      <c r="K189" s="7" t="str">
        <f t="shared" si="27"/>
        <v xml:space="preserve">,CA </v>
      </c>
      <c r="L189" s="7" t="str">
        <f t="shared" si="32"/>
        <v>,CA</v>
      </c>
      <c r="M189" s="7" t="str">
        <f t="shared" si="33"/>
        <v>CA</v>
      </c>
      <c r="N189" s="9">
        <f t="shared" si="34"/>
        <v>39.28</v>
      </c>
      <c r="O189" s="9">
        <f t="shared" si="35"/>
        <v>120.7</v>
      </c>
    </row>
    <row r="190" spans="1:15" x14ac:dyDescent="0.2">
      <c r="A190" s="1" t="s">
        <v>450</v>
      </c>
      <c r="B190" s="2">
        <v>33.619999999999997</v>
      </c>
      <c r="C190" s="2">
        <v>114.72</v>
      </c>
      <c r="D190" s="2" t="s">
        <v>451</v>
      </c>
      <c r="H190" s="2" t="s">
        <v>2876</v>
      </c>
      <c r="J190" s="7" t="str">
        <f t="shared" si="26"/>
        <v>Blythe</v>
      </c>
      <c r="K190" s="7" t="str">
        <f t="shared" si="27"/>
        <v xml:space="preserve">CA  </v>
      </c>
      <c r="L190" s="7" t="str">
        <f t="shared" si="32"/>
        <v xml:space="preserve">CA </v>
      </c>
      <c r="M190" s="7" t="str">
        <f t="shared" si="33"/>
        <v xml:space="preserve">CA </v>
      </c>
      <c r="N190" s="9">
        <f t="shared" si="34"/>
        <v>33.619999999999997</v>
      </c>
      <c r="O190" s="9">
        <f t="shared" si="35"/>
        <v>114.72</v>
      </c>
    </row>
    <row r="191" spans="1:15" x14ac:dyDescent="0.2">
      <c r="A191" s="1" t="s">
        <v>452</v>
      </c>
      <c r="B191" s="2">
        <v>34.200000000000003</v>
      </c>
      <c r="C191" s="2">
        <v>118.37</v>
      </c>
      <c r="D191" s="2" t="s">
        <v>453</v>
      </c>
      <c r="H191" s="2" t="s">
        <v>2877</v>
      </c>
      <c r="J191" s="7" t="str">
        <f t="shared" si="26"/>
        <v>Burbank</v>
      </c>
      <c r="K191" s="7" t="str">
        <f t="shared" si="27"/>
        <v xml:space="preserve">CA  </v>
      </c>
      <c r="L191" s="7" t="str">
        <f t="shared" si="32"/>
        <v xml:space="preserve">CA </v>
      </c>
      <c r="M191" s="7" t="str">
        <f t="shared" si="33"/>
        <v xml:space="preserve">CA </v>
      </c>
      <c r="N191" s="9">
        <f t="shared" si="34"/>
        <v>34.200000000000003</v>
      </c>
      <c r="O191" s="9">
        <f t="shared" si="35"/>
        <v>118.37</v>
      </c>
    </row>
    <row r="192" spans="1:15" x14ac:dyDescent="0.2">
      <c r="A192" s="1" t="s">
        <v>454</v>
      </c>
      <c r="B192" s="2">
        <v>33.299999999999997</v>
      </c>
      <c r="C192" s="2">
        <v>117.35</v>
      </c>
      <c r="D192" s="2" t="s">
        <v>455</v>
      </c>
      <c r="E192" s="2" t="s">
        <v>456</v>
      </c>
      <c r="H192" s="2" t="s">
        <v>2878</v>
      </c>
      <c r="J192" s="7" t="str">
        <f t="shared" si="26"/>
        <v>Camp Pendle</v>
      </c>
      <c r="K192" s="7" t="str">
        <f t="shared" si="27"/>
        <v xml:space="preserve">,CA </v>
      </c>
      <c r="L192" s="7" t="str">
        <f t="shared" si="32"/>
        <v>,CA</v>
      </c>
      <c r="M192" s="7" t="str">
        <f t="shared" si="33"/>
        <v>CA</v>
      </c>
      <c r="N192" s="9">
        <f t="shared" si="34"/>
        <v>33.299999999999997</v>
      </c>
      <c r="O192" s="9">
        <f t="shared" si="35"/>
        <v>117.35</v>
      </c>
    </row>
    <row r="193" spans="1:15" x14ac:dyDescent="0.2">
      <c r="A193" s="1" t="s">
        <v>457</v>
      </c>
      <c r="B193" s="2">
        <v>32.619999999999997</v>
      </c>
      <c r="C193" s="2">
        <v>116.47</v>
      </c>
      <c r="D193" s="2" t="s">
        <v>458</v>
      </c>
      <c r="H193" s="2" t="s">
        <v>2879</v>
      </c>
      <c r="J193" s="7" t="str">
        <f t="shared" si="26"/>
        <v>Campo</v>
      </c>
      <c r="K193" s="7" t="str">
        <f t="shared" si="27"/>
        <v xml:space="preserve">CA  </v>
      </c>
      <c r="L193" s="7" t="str">
        <f t="shared" si="32"/>
        <v xml:space="preserve">CA </v>
      </c>
      <c r="M193" s="7" t="str">
        <f t="shared" si="33"/>
        <v xml:space="preserve">CA </v>
      </c>
      <c r="N193" s="9">
        <f t="shared" si="34"/>
        <v>32.619999999999997</v>
      </c>
      <c r="O193" s="9">
        <f t="shared" si="35"/>
        <v>116.47</v>
      </c>
    </row>
    <row r="194" spans="1:15" x14ac:dyDescent="0.2">
      <c r="A194" s="1" t="s">
        <v>459</v>
      </c>
      <c r="B194" s="2">
        <v>33.130000000000003</v>
      </c>
      <c r="C194" s="2">
        <v>117.28</v>
      </c>
      <c r="D194" s="2" t="s">
        <v>460</v>
      </c>
      <c r="H194" s="2" t="s">
        <v>2880</v>
      </c>
      <c r="J194" s="7" t="str">
        <f t="shared" si="26"/>
        <v>Carlsbad</v>
      </c>
      <c r="K194" s="7" t="str">
        <f t="shared" si="27"/>
        <v xml:space="preserve">CA  </v>
      </c>
      <c r="L194" s="7" t="str">
        <f t="shared" si="32"/>
        <v xml:space="preserve">CA </v>
      </c>
      <c r="M194" s="7" t="str">
        <f t="shared" si="33"/>
        <v xml:space="preserve">CA </v>
      </c>
      <c r="N194" s="9">
        <f t="shared" si="34"/>
        <v>33.130000000000003</v>
      </c>
      <c r="O194" s="9">
        <f t="shared" si="35"/>
        <v>117.28</v>
      </c>
    </row>
    <row r="195" spans="1:15" x14ac:dyDescent="0.2">
      <c r="A195" s="1" t="s">
        <v>461</v>
      </c>
      <c r="B195" s="2">
        <v>37.380000000000003</v>
      </c>
      <c r="C195" s="2">
        <v>120.57</v>
      </c>
      <c r="D195" s="2" t="s">
        <v>462</v>
      </c>
      <c r="E195" s="2" t="s">
        <v>436</v>
      </c>
      <c r="H195" s="2" t="s">
        <v>2881</v>
      </c>
      <c r="J195" s="7" t="str">
        <f t="shared" si="26"/>
        <v>Castle AF</v>
      </c>
      <c r="K195" s="7" t="str">
        <f t="shared" si="27"/>
        <v xml:space="preserve">,CA </v>
      </c>
      <c r="L195" s="7" t="str">
        <f t="shared" si="32"/>
        <v>,CA</v>
      </c>
      <c r="M195" s="7" t="str">
        <f t="shared" si="33"/>
        <v>CA</v>
      </c>
      <c r="N195" s="9">
        <f t="shared" si="34"/>
        <v>37.380000000000003</v>
      </c>
      <c r="O195" s="9">
        <f t="shared" si="35"/>
        <v>120.57</v>
      </c>
    </row>
    <row r="196" spans="1:15" x14ac:dyDescent="0.2">
      <c r="A196" s="1" t="s">
        <v>463</v>
      </c>
      <c r="B196" s="2">
        <v>39.78</v>
      </c>
      <c r="C196" s="2">
        <v>121.85</v>
      </c>
      <c r="D196" s="2" t="s">
        <v>464</v>
      </c>
      <c r="H196" s="2" t="s">
        <v>2882</v>
      </c>
      <c r="J196" s="7" t="str">
        <f t="shared" si="26"/>
        <v>Chico</v>
      </c>
      <c r="K196" s="7" t="str">
        <f t="shared" si="27"/>
        <v xml:space="preserve">CA  </v>
      </c>
      <c r="L196" s="7" t="str">
        <f t="shared" si="32"/>
        <v xml:space="preserve">CA </v>
      </c>
      <c r="M196" s="7" t="str">
        <f t="shared" si="33"/>
        <v xml:space="preserve">CA </v>
      </c>
      <c r="N196" s="9">
        <f t="shared" si="34"/>
        <v>39.78</v>
      </c>
      <c r="O196" s="9">
        <f t="shared" si="35"/>
        <v>121.85</v>
      </c>
    </row>
    <row r="197" spans="1:15" x14ac:dyDescent="0.2">
      <c r="A197" s="1" t="s">
        <v>465</v>
      </c>
      <c r="B197" s="2">
        <v>35.68</v>
      </c>
      <c r="C197" s="2">
        <v>117.68</v>
      </c>
      <c r="D197" s="2" t="s">
        <v>466</v>
      </c>
      <c r="E197" s="2" t="s">
        <v>467</v>
      </c>
      <c r="H197" s="2" t="s">
        <v>2883</v>
      </c>
      <c r="J197" s="7" t="str">
        <f t="shared" si="26"/>
        <v>China Lak</v>
      </c>
      <c r="K197" s="7" t="str">
        <f t="shared" si="27"/>
        <v xml:space="preserve">,CA </v>
      </c>
      <c r="L197" s="7" t="str">
        <f t="shared" si="32"/>
        <v>,CA</v>
      </c>
      <c r="M197" s="7" t="str">
        <f t="shared" si="33"/>
        <v>CA</v>
      </c>
      <c r="N197" s="9">
        <f t="shared" si="34"/>
        <v>35.68</v>
      </c>
      <c r="O197" s="9">
        <f t="shared" si="35"/>
        <v>117.68</v>
      </c>
    </row>
    <row r="198" spans="1:15" x14ac:dyDescent="0.2">
      <c r="A198" s="1" t="s">
        <v>468</v>
      </c>
      <c r="B198" s="2">
        <v>33.97</v>
      </c>
      <c r="C198" s="2">
        <v>117.63</v>
      </c>
      <c r="D198" s="2" t="s">
        <v>469</v>
      </c>
      <c r="H198" s="2" t="s">
        <v>2884</v>
      </c>
      <c r="J198" s="7" t="str">
        <f t="shared" si="26"/>
        <v>Chino</v>
      </c>
      <c r="K198" s="7" t="str">
        <f t="shared" si="27"/>
        <v xml:space="preserve">CA  </v>
      </c>
      <c r="L198" s="7" t="str">
        <f t="shared" si="32"/>
        <v xml:space="preserve">CA </v>
      </c>
      <c r="M198" s="7" t="str">
        <f t="shared" si="33"/>
        <v xml:space="preserve">CA </v>
      </c>
      <c r="N198" s="9">
        <f t="shared" si="34"/>
        <v>33.97</v>
      </c>
      <c r="O198" s="9">
        <f t="shared" si="35"/>
        <v>117.63</v>
      </c>
    </row>
    <row r="199" spans="1:15" x14ac:dyDescent="0.2">
      <c r="A199" s="1" t="s">
        <v>470</v>
      </c>
      <c r="B199" s="2">
        <v>37.979999999999997</v>
      </c>
      <c r="C199" s="2">
        <v>122.05</v>
      </c>
      <c r="D199" s="2" t="s">
        <v>471</v>
      </c>
      <c r="H199" s="2" t="s">
        <v>2885</v>
      </c>
      <c r="J199" s="7" t="str">
        <f t="shared" si="26"/>
        <v>Concord</v>
      </c>
      <c r="K199" s="7" t="str">
        <f t="shared" si="27"/>
        <v xml:space="preserve">CA  </v>
      </c>
      <c r="L199" s="7" t="str">
        <f t="shared" si="32"/>
        <v xml:space="preserve">CA </v>
      </c>
      <c r="M199" s="7" t="str">
        <f t="shared" si="33"/>
        <v xml:space="preserve">CA </v>
      </c>
      <c r="N199" s="9">
        <f t="shared" si="34"/>
        <v>37.979999999999997</v>
      </c>
      <c r="O199" s="9">
        <f t="shared" si="35"/>
        <v>122.05</v>
      </c>
    </row>
    <row r="200" spans="1:15" x14ac:dyDescent="0.2">
      <c r="A200" s="1" t="s">
        <v>472</v>
      </c>
      <c r="B200" s="2">
        <v>41.78</v>
      </c>
      <c r="C200" s="2">
        <v>124.23</v>
      </c>
      <c r="D200" s="2" t="s">
        <v>473</v>
      </c>
      <c r="E200" s="2" t="s">
        <v>474</v>
      </c>
      <c r="H200" s="2" t="s">
        <v>2886</v>
      </c>
      <c r="J200" s="7" t="str">
        <f t="shared" si="26"/>
        <v>Crescent Ct</v>
      </c>
      <c r="K200" s="7" t="str">
        <f t="shared" si="27"/>
        <v xml:space="preserve">,CA </v>
      </c>
      <c r="L200" s="7" t="str">
        <f t="shared" si="32"/>
        <v>,CA</v>
      </c>
      <c r="M200" s="7" t="str">
        <f t="shared" si="33"/>
        <v>CA</v>
      </c>
      <c r="N200" s="9">
        <f t="shared" si="34"/>
        <v>41.78</v>
      </c>
      <c r="O200" s="9">
        <f t="shared" si="35"/>
        <v>124.23</v>
      </c>
    </row>
    <row r="201" spans="1:15" x14ac:dyDescent="0.2">
      <c r="A201" s="1" t="s">
        <v>475</v>
      </c>
      <c r="B201" s="2">
        <v>34.869999999999997</v>
      </c>
      <c r="C201" s="2">
        <v>116.78</v>
      </c>
      <c r="D201" s="2" t="s">
        <v>476</v>
      </c>
      <c r="H201" s="2" t="s">
        <v>2887</v>
      </c>
      <c r="J201" s="7" t="str">
        <f t="shared" si="26"/>
        <v>Daggett</v>
      </c>
      <c r="K201" s="7" t="str">
        <f t="shared" si="27"/>
        <v xml:space="preserve">CA  </v>
      </c>
      <c r="L201" s="7" t="str">
        <f t="shared" si="32"/>
        <v xml:space="preserve">CA </v>
      </c>
      <c r="M201" s="7" t="str">
        <f t="shared" si="33"/>
        <v xml:space="preserve">CA </v>
      </c>
      <c r="N201" s="9">
        <f t="shared" si="34"/>
        <v>34.869999999999997</v>
      </c>
      <c r="O201" s="9">
        <f t="shared" si="35"/>
        <v>116.78</v>
      </c>
    </row>
    <row r="202" spans="1:15" x14ac:dyDescent="0.2">
      <c r="A202" s="1" t="s">
        <v>477</v>
      </c>
      <c r="B202" s="2">
        <v>34.9</v>
      </c>
      <c r="C202" s="2">
        <v>117.88</v>
      </c>
      <c r="D202" s="2" t="s">
        <v>478</v>
      </c>
      <c r="E202" s="2" t="s">
        <v>436</v>
      </c>
      <c r="H202" s="2" t="s">
        <v>2888</v>
      </c>
      <c r="J202" s="7" t="str">
        <f t="shared" si="26"/>
        <v>Edwards AF</v>
      </c>
      <c r="K202" s="7" t="str">
        <f t="shared" si="27"/>
        <v xml:space="preserve">,CA </v>
      </c>
      <c r="L202" s="7" t="str">
        <f t="shared" si="32"/>
        <v>,CA</v>
      </c>
      <c r="M202" s="7" t="str">
        <f t="shared" si="33"/>
        <v>CA</v>
      </c>
      <c r="N202" s="9">
        <f t="shared" si="34"/>
        <v>34.9</v>
      </c>
      <c r="O202" s="9">
        <f t="shared" si="35"/>
        <v>117.88</v>
      </c>
    </row>
    <row r="203" spans="1:15" x14ac:dyDescent="0.2">
      <c r="A203" s="1" t="s">
        <v>479</v>
      </c>
      <c r="B203" s="2">
        <v>32.82</v>
      </c>
      <c r="C203" s="2">
        <v>115.68</v>
      </c>
      <c r="D203" s="2" t="s">
        <v>396</v>
      </c>
      <c r="E203" s="2" t="s">
        <v>480</v>
      </c>
      <c r="H203" s="2" t="s">
        <v>2889</v>
      </c>
      <c r="J203" s="7" t="str">
        <f t="shared" si="26"/>
        <v>El Centr</v>
      </c>
      <c r="K203" s="7" t="str">
        <f t="shared" si="27"/>
        <v xml:space="preserve">,CA </v>
      </c>
      <c r="L203" s="7" t="str">
        <f t="shared" si="32"/>
        <v>,CA</v>
      </c>
      <c r="M203" s="7" t="str">
        <f t="shared" si="33"/>
        <v>CA</v>
      </c>
      <c r="N203" s="9">
        <f t="shared" si="34"/>
        <v>32.82</v>
      </c>
      <c r="O203" s="9">
        <f t="shared" si="35"/>
        <v>115.68</v>
      </c>
    </row>
    <row r="204" spans="1:15" x14ac:dyDescent="0.2">
      <c r="A204" s="1" t="s">
        <v>481</v>
      </c>
      <c r="B204" s="2">
        <v>34.08</v>
      </c>
      <c r="C204" s="2">
        <v>118.03</v>
      </c>
      <c r="D204" s="2" t="s">
        <v>396</v>
      </c>
      <c r="E204" s="2" t="s">
        <v>482</v>
      </c>
      <c r="H204" s="2" t="s">
        <v>2890</v>
      </c>
      <c r="J204" s="7" t="str">
        <f t="shared" si="26"/>
        <v>El Mont</v>
      </c>
      <c r="K204" s="7" t="str">
        <f t="shared" si="27"/>
        <v xml:space="preserve">,CA </v>
      </c>
      <c r="L204" s="7" t="str">
        <f t="shared" si="32"/>
        <v>,CA</v>
      </c>
      <c r="M204" s="7" t="str">
        <f t="shared" si="33"/>
        <v>CA</v>
      </c>
      <c r="N204" s="9">
        <f t="shared" si="34"/>
        <v>34.08</v>
      </c>
      <c r="O204" s="9">
        <f t="shared" si="35"/>
        <v>118.03</v>
      </c>
    </row>
    <row r="205" spans="1:15" x14ac:dyDescent="0.2">
      <c r="A205" s="1" t="s">
        <v>483</v>
      </c>
      <c r="B205" s="2">
        <v>33.67</v>
      </c>
      <c r="C205" s="2">
        <v>117.73</v>
      </c>
      <c r="D205" s="2" t="s">
        <v>396</v>
      </c>
      <c r="E205" s="2" t="s">
        <v>484</v>
      </c>
      <c r="H205" s="2" t="s">
        <v>2891</v>
      </c>
      <c r="J205" s="7" t="str">
        <f t="shared" si="26"/>
        <v>El Tor</v>
      </c>
      <c r="K205" s="7" t="str">
        <f t="shared" si="27"/>
        <v xml:space="preserve">,CA </v>
      </c>
      <c r="L205" s="7" t="str">
        <f t="shared" si="32"/>
        <v>,CA</v>
      </c>
      <c r="M205" s="7" t="str">
        <f t="shared" si="33"/>
        <v>CA</v>
      </c>
      <c r="N205" s="9">
        <f t="shared" si="34"/>
        <v>33.67</v>
      </c>
      <c r="O205" s="9">
        <f t="shared" si="35"/>
        <v>117.73</v>
      </c>
    </row>
    <row r="206" spans="1:15" x14ac:dyDescent="0.2">
      <c r="A206" s="1" t="s">
        <v>485</v>
      </c>
      <c r="B206" s="2">
        <v>41.33</v>
      </c>
      <c r="C206" s="2">
        <v>124.28</v>
      </c>
      <c r="D206" s="2" t="s">
        <v>486</v>
      </c>
      <c r="H206" s="2" t="s">
        <v>2892</v>
      </c>
      <c r="J206" s="7" t="str">
        <f t="shared" si="26"/>
        <v>Eureka</v>
      </c>
      <c r="K206" s="7" t="str">
        <f t="shared" si="27"/>
        <v xml:space="preserve">CA  </v>
      </c>
      <c r="L206" s="7" t="str">
        <f t="shared" si="32"/>
        <v xml:space="preserve">CA </v>
      </c>
      <c r="M206" s="7" t="str">
        <f t="shared" si="33"/>
        <v xml:space="preserve">CA </v>
      </c>
      <c r="N206" s="9">
        <f t="shared" si="34"/>
        <v>41.33</v>
      </c>
      <c r="O206" s="9">
        <f t="shared" si="35"/>
        <v>124.28</v>
      </c>
    </row>
    <row r="207" spans="1:15" x14ac:dyDescent="0.2">
      <c r="A207" s="1" t="s">
        <v>487</v>
      </c>
      <c r="B207" s="2">
        <v>36</v>
      </c>
      <c r="C207" s="2">
        <v>121.32</v>
      </c>
      <c r="D207" s="2" t="s">
        <v>71</v>
      </c>
      <c r="E207" s="2" t="s">
        <v>488</v>
      </c>
      <c r="H207" s="2" t="s">
        <v>2893</v>
      </c>
      <c r="J207" s="7" t="str">
        <f t="shared" si="26"/>
        <v>Fort Hunte</v>
      </c>
      <c r="K207" s="7" t="str">
        <f t="shared" si="27"/>
        <v xml:space="preserve">,CA </v>
      </c>
      <c r="L207" s="7" t="str">
        <f t="shared" si="32"/>
        <v>,CA</v>
      </c>
      <c r="M207" s="7" t="str">
        <f t="shared" si="33"/>
        <v>CA</v>
      </c>
      <c r="N207" s="9">
        <f t="shared" si="34"/>
        <v>36</v>
      </c>
      <c r="O207" s="9">
        <f t="shared" si="35"/>
        <v>121.32</v>
      </c>
    </row>
    <row r="208" spans="1:15" x14ac:dyDescent="0.2">
      <c r="A208" s="1" t="s">
        <v>489</v>
      </c>
      <c r="B208" s="2">
        <v>36.68</v>
      </c>
      <c r="C208" s="2">
        <v>121.77</v>
      </c>
      <c r="D208" s="2" t="s">
        <v>71</v>
      </c>
      <c r="E208" s="2" t="s">
        <v>490</v>
      </c>
      <c r="H208" s="2" t="s">
        <v>2894</v>
      </c>
      <c r="J208" s="7" t="str">
        <f t="shared" si="26"/>
        <v>Fort Or</v>
      </c>
      <c r="K208" s="7" t="str">
        <f t="shared" si="27"/>
        <v xml:space="preserve">,CA </v>
      </c>
      <c r="L208" s="7" t="str">
        <f t="shared" si="32"/>
        <v>,CA</v>
      </c>
      <c r="M208" s="7" t="str">
        <f t="shared" si="33"/>
        <v>CA</v>
      </c>
      <c r="N208" s="9">
        <f t="shared" si="34"/>
        <v>36.68</v>
      </c>
      <c r="O208" s="9">
        <f t="shared" si="35"/>
        <v>121.77</v>
      </c>
    </row>
    <row r="209" spans="1:15" x14ac:dyDescent="0.2">
      <c r="A209" s="1" t="s">
        <v>491</v>
      </c>
      <c r="B209" s="2">
        <v>36.770000000000003</v>
      </c>
      <c r="C209" s="2">
        <v>119.72</v>
      </c>
      <c r="D209" s="2" t="s">
        <v>492</v>
      </c>
      <c r="H209" s="2" t="s">
        <v>2895</v>
      </c>
      <c r="J209" s="7" t="str">
        <f t="shared" si="26"/>
        <v>Fresno</v>
      </c>
      <c r="K209" s="7" t="str">
        <f t="shared" si="27"/>
        <v xml:space="preserve">CA  </v>
      </c>
      <c r="L209" s="7" t="str">
        <f t="shared" si="32"/>
        <v xml:space="preserve">CA </v>
      </c>
      <c r="M209" s="7" t="str">
        <f t="shared" si="33"/>
        <v xml:space="preserve">CA </v>
      </c>
      <c r="N209" s="9">
        <f t="shared" si="34"/>
        <v>36.770000000000003</v>
      </c>
      <c r="O209" s="9">
        <f t="shared" si="35"/>
        <v>119.72</v>
      </c>
    </row>
    <row r="210" spans="1:15" x14ac:dyDescent="0.2">
      <c r="A210" s="1" t="s">
        <v>493</v>
      </c>
      <c r="B210" s="2">
        <v>33.869999999999997</v>
      </c>
      <c r="C210" s="2">
        <v>117.97</v>
      </c>
      <c r="D210" s="2" t="s">
        <v>494</v>
      </c>
      <c r="H210" s="2" t="s">
        <v>2896</v>
      </c>
      <c r="J210" s="7" t="str">
        <f t="shared" si="26"/>
        <v>Fullerton</v>
      </c>
      <c r="K210" s="7" t="str">
        <f t="shared" si="27"/>
        <v xml:space="preserve">CA  </v>
      </c>
      <c r="L210" s="7" t="str">
        <f t="shared" si="32"/>
        <v xml:space="preserve">CA </v>
      </c>
      <c r="M210" s="7" t="str">
        <f t="shared" si="33"/>
        <v xml:space="preserve">CA </v>
      </c>
      <c r="N210" s="9">
        <f t="shared" si="34"/>
        <v>33.869999999999997</v>
      </c>
      <c r="O210" s="9">
        <f t="shared" si="35"/>
        <v>117.97</v>
      </c>
    </row>
    <row r="211" spans="1:15" x14ac:dyDescent="0.2">
      <c r="A211" s="1" t="s">
        <v>495</v>
      </c>
      <c r="B211" s="2">
        <v>34.58</v>
      </c>
      <c r="C211" s="2">
        <v>117.38</v>
      </c>
      <c r="D211" s="2" t="s">
        <v>496</v>
      </c>
      <c r="E211" s="2" t="s">
        <v>436</v>
      </c>
      <c r="H211" s="2" t="s">
        <v>2897</v>
      </c>
      <c r="J211" s="7" t="str">
        <f t="shared" si="26"/>
        <v>George AF</v>
      </c>
      <c r="K211" s="7" t="str">
        <f t="shared" si="27"/>
        <v xml:space="preserve">,CA </v>
      </c>
      <c r="L211" s="7" t="str">
        <f t="shared" si="32"/>
        <v>,CA</v>
      </c>
      <c r="M211" s="7" t="str">
        <f t="shared" si="33"/>
        <v>CA</v>
      </c>
      <c r="N211" s="9">
        <f t="shared" si="34"/>
        <v>34.58</v>
      </c>
      <c r="O211" s="9">
        <f t="shared" si="35"/>
        <v>117.38</v>
      </c>
    </row>
    <row r="212" spans="1:15" x14ac:dyDescent="0.2">
      <c r="A212" s="1" t="s">
        <v>497</v>
      </c>
      <c r="B212" s="2">
        <v>33.92</v>
      </c>
      <c r="C212" s="2">
        <v>118.33</v>
      </c>
      <c r="D212" s="2" t="s">
        <v>498</v>
      </c>
      <c r="H212" s="2" t="s">
        <v>2898</v>
      </c>
      <c r="J212" s="7" t="str">
        <f t="shared" si="26"/>
        <v>Hawthorne</v>
      </c>
      <c r="K212" s="7" t="str">
        <f t="shared" si="27"/>
        <v xml:space="preserve">CA  </v>
      </c>
      <c r="L212" s="7" t="str">
        <f t="shared" si="32"/>
        <v xml:space="preserve">CA </v>
      </c>
      <c r="M212" s="7" t="str">
        <f t="shared" si="33"/>
        <v xml:space="preserve">CA </v>
      </c>
      <c r="N212" s="9">
        <f t="shared" si="34"/>
        <v>33.92</v>
      </c>
      <c r="O212" s="9">
        <f t="shared" si="35"/>
        <v>118.33</v>
      </c>
    </row>
    <row r="213" spans="1:15" x14ac:dyDescent="0.2">
      <c r="A213" s="1" t="s">
        <v>499</v>
      </c>
      <c r="B213" s="2">
        <v>37.65</v>
      </c>
      <c r="C213" s="2">
        <v>122.12</v>
      </c>
      <c r="D213" s="2" t="s">
        <v>500</v>
      </c>
      <c r="H213" s="2" t="s">
        <v>2899</v>
      </c>
      <c r="J213" s="7" t="str">
        <f t="shared" si="26"/>
        <v>Hayward</v>
      </c>
      <c r="K213" s="7" t="str">
        <f t="shared" si="27"/>
        <v xml:space="preserve">CA  </v>
      </c>
      <c r="L213" s="7" t="str">
        <f t="shared" si="32"/>
        <v xml:space="preserve">CA </v>
      </c>
      <c r="M213" s="7" t="str">
        <f t="shared" si="33"/>
        <v xml:space="preserve">CA </v>
      </c>
      <c r="N213" s="9">
        <f t="shared" si="34"/>
        <v>37.65</v>
      </c>
      <c r="O213" s="9">
        <f t="shared" si="35"/>
        <v>122.12</v>
      </c>
    </row>
    <row r="214" spans="1:15" x14ac:dyDescent="0.2">
      <c r="A214" s="1" t="s">
        <v>501</v>
      </c>
      <c r="B214" s="2">
        <v>32.83</v>
      </c>
      <c r="C214" s="2">
        <v>115.57</v>
      </c>
      <c r="D214" s="2" t="s">
        <v>502</v>
      </c>
      <c r="H214" s="2" t="s">
        <v>2900</v>
      </c>
      <c r="J214" s="7" t="str">
        <f t="shared" ref="J214:J277" si="36">LEFT(H214,LEN(H214)-5)</f>
        <v>Imperial</v>
      </c>
      <c r="K214" s="7" t="str">
        <f t="shared" ref="K214:K277" si="37">RIGHT(H214,4)</f>
        <v xml:space="preserve">CA  </v>
      </c>
      <c r="L214" s="7" t="str">
        <f t="shared" si="32"/>
        <v xml:space="preserve">CA </v>
      </c>
      <c r="M214" s="7" t="str">
        <f t="shared" si="33"/>
        <v xml:space="preserve">CA </v>
      </c>
      <c r="N214" s="9">
        <f t="shared" ref="N214:N277" si="38">B214</f>
        <v>32.83</v>
      </c>
      <c r="O214" s="9">
        <f t="shared" ref="O214:O277" si="39">C214</f>
        <v>115.57</v>
      </c>
    </row>
    <row r="215" spans="1:15" x14ac:dyDescent="0.2">
      <c r="A215" s="1" t="s">
        <v>503</v>
      </c>
      <c r="B215" s="2">
        <v>32.57</v>
      </c>
      <c r="C215" s="2">
        <v>117.12</v>
      </c>
      <c r="D215" s="2" t="s">
        <v>504</v>
      </c>
      <c r="E215" s="2" t="s">
        <v>505</v>
      </c>
      <c r="H215" s="2" t="s">
        <v>2901</v>
      </c>
      <c r="J215" s="7" t="str">
        <f t="shared" si="36"/>
        <v>Imperial Bc</v>
      </c>
      <c r="K215" s="7" t="str">
        <f t="shared" si="37"/>
        <v xml:space="preserve">,CA </v>
      </c>
      <c r="L215" s="7" t="str">
        <f t="shared" si="32"/>
        <v>,CA</v>
      </c>
      <c r="M215" s="7" t="str">
        <f t="shared" si="33"/>
        <v>CA</v>
      </c>
      <c r="N215" s="9">
        <f t="shared" si="38"/>
        <v>32.57</v>
      </c>
      <c r="O215" s="9">
        <f t="shared" si="39"/>
        <v>117.12</v>
      </c>
    </row>
    <row r="216" spans="1:15" x14ac:dyDescent="0.2">
      <c r="A216" s="1" t="s">
        <v>506</v>
      </c>
      <c r="B216" s="2">
        <v>34.1</v>
      </c>
      <c r="C216" s="2">
        <v>117.78</v>
      </c>
      <c r="D216" s="2" t="s">
        <v>507</v>
      </c>
      <c r="E216" s="2" t="s">
        <v>508</v>
      </c>
      <c r="H216" s="2" t="s">
        <v>2902</v>
      </c>
      <c r="J216" s="7" t="str">
        <f t="shared" si="36"/>
        <v>La Vern</v>
      </c>
      <c r="K216" s="7" t="str">
        <f t="shared" si="37"/>
        <v xml:space="preserve">,CA </v>
      </c>
      <c r="L216" s="7" t="str">
        <f t="shared" si="32"/>
        <v>,CA</v>
      </c>
      <c r="M216" s="7" t="str">
        <f t="shared" si="33"/>
        <v>CA</v>
      </c>
      <c r="N216" s="9">
        <f t="shared" si="38"/>
        <v>34.1</v>
      </c>
      <c r="O216" s="9">
        <f t="shared" si="39"/>
        <v>117.78</v>
      </c>
    </row>
    <row r="217" spans="1:15" x14ac:dyDescent="0.2">
      <c r="A217" s="1" t="s">
        <v>509</v>
      </c>
      <c r="B217" s="2">
        <v>38.9</v>
      </c>
      <c r="C217" s="2">
        <v>120</v>
      </c>
      <c r="D217" s="2" t="s">
        <v>510</v>
      </c>
      <c r="E217" s="2" t="s">
        <v>511</v>
      </c>
      <c r="H217" s="2" t="s">
        <v>2903</v>
      </c>
      <c r="J217" s="7" t="str">
        <f t="shared" si="36"/>
        <v>Lake Taho</v>
      </c>
      <c r="K217" s="7" t="str">
        <f t="shared" si="37"/>
        <v xml:space="preserve">,CA </v>
      </c>
      <c r="L217" s="7" t="str">
        <f t="shared" si="32"/>
        <v>,CA</v>
      </c>
      <c r="M217" s="7" t="str">
        <f t="shared" si="33"/>
        <v>CA</v>
      </c>
      <c r="N217" s="9">
        <f t="shared" si="38"/>
        <v>38.9</v>
      </c>
      <c r="O217" s="9">
        <f t="shared" si="39"/>
        <v>120</v>
      </c>
    </row>
    <row r="218" spans="1:15" x14ac:dyDescent="0.2">
      <c r="A218" s="1" t="s">
        <v>512</v>
      </c>
      <c r="B218" s="2">
        <v>34.729999999999997</v>
      </c>
      <c r="C218" s="2">
        <v>118.22</v>
      </c>
      <c r="D218" s="2" t="s">
        <v>513</v>
      </c>
      <c r="H218" s="2" t="s">
        <v>2904</v>
      </c>
      <c r="J218" s="7" t="str">
        <f t="shared" si="36"/>
        <v>Lancaster</v>
      </c>
      <c r="K218" s="7" t="str">
        <f t="shared" si="37"/>
        <v xml:space="preserve">CA  </v>
      </c>
      <c r="L218" s="7" t="str">
        <f t="shared" si="32"/>
        <v xml:space="preserve">CA </v>
      </c>
      <c r="M218" s="7" t="str">
        <f t="shared" si="33"/>
        <v xml:space="preserve">CA </v>
      </c>
      <c r="N218" s="9">
        <f t="shared" si="38"/>
        <v>34.729999999999997</v>
      </c>
      <c r="O218" s="9">
        <f t="shared" si="39"/>
        <v>118.22</v>
      </c>
    </row>
    <row r="219" spans="1:15" x14ac:dyDescent="0.2">
      <c r="A219" s="1" t="s">
        <v>514</v>
      </c>
      <c r="B219" s="2">
        <v>36.33</v>
      </c>
      <c r="C219" s="2">
        <v>119.95</v>
      </c>
      <c r="D219" s="2" t="s">
        <v>515</v>
      </c>
      <c r="E219" s="2" t="s">
        <v>427</v>
      </c>
      <c r="H219" s="2" t="s">
        <v>2905</v>
      </c>
      <c r="J219" s="7" t="str">
        <f t="shared" si="36"/>
        <v>Lemoore NA</v>
      </c>
      <c r="K219" s="7" t="str">
        <f t="shared" si="37"/>
        <v xml:space="preserve">,CA </v>
      </c>
      <c r="L219" s="7" t="str">
        <f t="shared" si="32"/>
        <v>,CA</v>
      </c>
      <c r="M219" s="7" t="str">
        <f t="shared" si="33"/>
        <v>CA</v>
      </c>
      <c r="N219" s="9">
        <f t="shared" si="38"/>
        <v>36.33</v>
      </c>
      <c r="O219" s="9">
        <f t="shared" si="39"/>
        <v>119.95</v>
      </c>
    </row>
    <row r="220" spans="1:15" x14ac:dyDescent="0.2">
      <c r="A220" s="1" t="s">
        <v>516</v>
      </c>
      <c r="B220" s="2">
        <v>37.700000000000003</v>
      </c>
      <c r="C220" s="2">
        <v>121.82</v>
      </c>
      <c r="D220" s="2" t="s">
        <v>517</v>
      </c>
      <c r="H220" s="2" t="s">
        <v>2906</v>
      </c>
      <c r="J220" s="7" t="str">
        <f t="shared" si="36"/>
        <v>Livermore</v>
      </c>
      <c r="K220" s="7" t="str">
        <f t="shared" si="37"/>
        <v xml:space="preserve">CA  </v>
      </c>
      <c r="L220" s="7" t="str">
        <f t="shared" si="32"/>
        <v xml:space="preserve">CA </v>
      </c>
      <c r="M220" s="7" t="str">
        <f t="shared" si="33"/>
        <v xml:space="preserve">CA </v>
      </c>
      <c r="N220" s="9">
        <f t="shared" si="38"/>
        <v>37.700000000000003</v>
      </c>
      <c r="O220" s="9">
        <f t="shared" si="39"/>
        <v>121.82</v>
      </c>
    </row>
    <row r="221" spans="1:15" x14ac:dyDescent="0.2">
      <c r="A221" s="1" t="s">
        <v>518</v>
      </c>
      <c r="B221" s="2">
        <v>33.82</v>
      </c>
      <c r="C221" s="2">
        <v>118.15</v>
      </c>
      <c r="D221" s="2" t="s">
        <v>519</v>
      </c>
      <c r="E221" s="2" t="s">
        <v>520</v>
      </c>
      <c r="H221" s="2" t="s">
        <v>3878</v>
      </c>
      <c r="J221" s="7" t="str">
        <f t="shared" si="36"/>
        <v>Long Beach</v>
      </c>
      <c r="K221" s="7" t="str">
        <f t="shared" si="37"/>
        <v xml:space="preserve">CA  </v>
      </c>
      <c r="L221" s="7" t="str">
        <f t="shared" si="32"/>
        <v xml:space="preserve">CA </v>
      </c>
      <c r="M221" s="7" t="str">
        <f t="shared" si="33"/>
        <v xml:space="preserve">CA </v>
      </c>
      <c r="N221" s="9">
        <f t="shared" si="38"/>
        <v>33.82</v>
      </c>
      <c r="O221" s="9">
        <f t="shared" si="39"/>
        <v>118.15</v>
      </c>
    </row>
    <row r="222" spans="1:15" x14ac:dyDescent="0.2">
      <c r="A222" s="1" t="s">
        <v>521</v>
      </c>
      <c r="B222" s="2">
        <v>33.78</v>
      </c>
      <c r="C222" s="2">
        <v>118.05</v>
      </c>
      <c r="D222" s="2" t="s">
        <v>522</v>
      </c>
      <c r="E222" s="2" t="s">
        <v>523</v>
      </c>
      <c r="H222" s="2" t="s">
        <v>2907</v>
      </c>
      <c r="J222" s="7" t="str">
        <f t="shared" si="36"/>
        <v>Los Alamito</v>
      </c>
      <c r="K222" s="7" t="str">
        <f t="shared" si="37"/>
        <v xml:space="preserve">,CA </v>
      </c>
      <c r="L222" s="7" t="str">
        <f t="shared" si="32"/>
        <v>,CA</v>
      </c>
      <c r="M222" s="7" t="str">
        <f t="shared" si="33"/>
        <v>CA</v>
      </c>
      <c r="N222" s="9">
        <f t="shared" si="38"/>
        <v>33.78</v>
      </c>
      <c r="O222" s="9">
        <f t="shared" si="39"/>
        <v>118.05</v>
      </c>
    </row>
    <row r="223" spans="1:15" x14ac:dyDescent="0.2">
      <c r="A223" s="1" t="s">
        <v>524</v>
      </c>
      <c r="B223" s="2">
        <v>33.93</v>
      </c>
      <c r="C223" s="2">
        <v>118.4</v>
      </c>
      <c r="D223" s="2" t="s">
        <v>522</v>
      </c>
      <c r="E223" s="2" t="s">
        <v>525</v>
      </c>
      <c r="H223" s="2" t="s">
        <v>3859</v>
      </c>
      <c r="J223" s="7" t="str">
        <f t="shared" si="36"/>
        <v>Los Angeles</v>
      </c>
      <c r="K223" s="7" t="str">
        <f t="shared" si="37"/>
        <v xml:space="preserve">CA  </v>
      </c>
      <c r="L223" s="7" t="str">
        <f t="shared" si="32"/>
        <v xml:space="preserve">CA </v>
      </c>
      <c r="M223" s="7" t="str">
        <f t="shared" si="33"/>
        <v xml:space="preserve">CA </v>
      </c>
      <c r="N223" s="9">
        <f t="shared" si="38"/>
        <v>33.93</v>
      </c>
      <c r="O223" s="9">
        <f t="shared" si="39"/>
        <v>118.4</v>
      </c>
    </row>
    <row r="224" spans="1:15" x14ac:dyDescent="0.2">
      <c r="A224" s="1" t="s">
        <v>526</v>
      </c>
      <c r="B224" s="2">
        <v>37.630000000000003</v>
      </c>
      <c r="C224" s="2">
        <v>118.92</v>
      </c>
      <c r="D224" s="2" t="s">
        <v>527</v>
      </c>
      <c r="E224" s="2" t="s">
        <v>528</v>
      </c>
      <c r="H224" s="2" t="s">
        <v>2908</v>
      </c>
      <c r="J224" s="7" t="str">
        <f t="shared" si="36"/>
        <v>Mammoth Lk</v>
      </c>
      <c r="K224" s="7" t="str">
        <f t="shared" si="37"/>
        <v xml:space="preserve">,CA </v>
      </c>
      <c r="L224" s="7" t="str">
        <f t="shared" si="32"/>
        <v>,CA</v>
      </c>
      <c r="M224" s="7" t="str">
        <f t="shared" si="33"/>
        <v>CA</v>
      </c>
      <c r="N224" s="9">
        <f t="shared" si="38"/>
        <v>37.630000000000003</v>
      </c>
      <c r="O224" s="9">
        <f t="shared" si="39"/>
        <v>118.92</v>
      </c>
    </row>
    <row r="225" spans="1:15" x14ac:dyDescent="0.2">
      <c r="A225" s="1" t="s">
        <v>529</v>
      </c>
      <c r="B225" s="2">
        <v>33.880000000000003</v>
      </c>
      <c r="C225" s="2">
        <v>117.27</v>
      </c>
      <c r="D225" s="2" t="s">
        <v>530</v>
      </c>
      <c r="E225" s="2" t="s">
        <v>436</v>
      </c>
      <c r="H225" s="2" t="s">
        <v>2909</v>
      </c>
      <c r="J225" s="7" t="str">
        <f t="shared" si="36"/>
        <v>March AF</v>
      </c>
      <c r="K225" s="7" t="str">
        <f t="shared" si="37"/>
        <v xml:space="preserve">,CA </v>
      </c>
      <c r="L225" s="7" t="str">
        <f t="shared" si="32"/>
        <v>,CA</v>
      </c>
      <c r="M225" s="7" t="str">
        <f t="shared" si="33"/>
        <v>CA</v>
      </c>
      <c r="N225" s="9">
        <f t="shared" si="38"/>
        <v>33.880000000000003</v>
      </c>
      <c r="O225" s="9">
        <f t="shared" si="39"/>
        <v>117.27</v>
      </c>
    </row>
    <row r="226" spans="1:15" x14ac:dyDescent="0.2">
      <c r="A226" s="1" t="s">
        <v>531</v>
      </c>
      <c r="B226" s="2">
        <v>39.1</v>
      </c>
      <c r="C226" s="2">
        <v>121.57</v>
      </c>
      <c r="D226" s="2" t="s">
        <v>532</v>
      </c>
      <c r="H226" s="2" t="s">
        <v>2910</v>
      </c>
      <c r="J226" s="7" t="str">
        <f t="shared" si="36"/>
        <v>Marysville</v>
      </c>
      <c r="K226" s="7" t="str">
        <f t="shared" si="37"/>
        <v xml:space="preserve">CA  </v>
      </c>
      <c r="L226" s="7" t="str">
        <f t="shared" si="32"/>
        <v xml:space="preserve">CA </v>
      </c>
      <c r="M226" s="7" t="str">
        <f t="shared" si="33"/>
        <v xml:space="preserve">CA </v>
      </c>
      <c r="N226" s="9">
        <f t="shared" si="38"/>
        <v>39.1</v>
      </c>
      <c r="O226" s="9">
        <f t="shared" si="39"/>
        <v>121.57</v>
      </c>
    </row>
    <row r="227" spans="1:15" x14ac:dyDescent="0.2">
      <c r="A227" s="1" t="s">
        <v>533</v>
      </c>
      <c r="B227" s="2">
        <v>38.57</v>
      </c>
      <c r="C227" s="2">
        <v>121.3</v>
      </c>
      <c r="D227" s="2" t="s">
        <v>534</v>
      </c>
      <c r="E227" s="2" t="s">
        <v>436</v>
      </c>
      <c r="H227" s="2" t="s">
        <v>2911</v>
      </c>
      <c r="J227" s="7" t="str">
        <f t="shared" si="36"/>
        <v>Mather AF</v>
      </c>
      <c r="K227" s="7" t="str">
        <f t="shared" si="37"/>
        <v xml:space="preserve">,CA </v>
      </c>
      <c r="L227" s="7" t="str">
        <f t="shared" si="32"/>
        <v>,CA</v>
      </c>
      <c r="M227" s="7" t="str">
        <f t="shared" si="33"/>
        <v>CA</v>
      </c>
      <c r="N227" s="9">
        <f t="shared" si="38"/>
        <v>38.57</v>
      </c>
      <c r="O227" s="9">
        <f t="shared" si="39"/>
        <v>121.3</v>
      </c>
    </row>
    <row r="228" spans="1:15" x14ac:dyDescent="0.2">
      <c r="A228" s="1" t="s">
        <v>535</v>
      </c>
      <c r="B228" s="2">
        <v>38.67</v>
      </c>
      <c r="C228" s="2">
        <v>121.4</v>
      </c>
      <c r="D228" s="2" t="s">
        <v>536</v>
      </c>
      <c r="H228" s="2" t="s">
        <v>2912</v>
      </c>
      <c r="J228" s="7" t="str">
        <f t="shared" si="36"/>
        <v>Mcclellan</v>
      </c>
      <c r="K228" s="7" t="str">
        <f t="shared" si="37"/>
        <v xml:space="preserve">CA  </v>
      </c>
      <c r="L228" s="7" t="str">
        <f t="shared" si="32"/>
        <v xml:space="preserve">CA </v>
      </c>
      <c r="M228" s="7" t="str">
        <f t="shared" si="33"/>
        <v xml:space="preserve">CA </v>
      </c>
      <c r="N228" s="9">
        <f t="shared" si="38"/>
        <v>38.67</v>
      </c>
      <c r="O228" s="9">
        <f t="shared" si="39"/>
        <v>121.4</v>
      </c>
    </row>
    <row r="229" spans="1:15" x14ac:dyDescent="0.2">
      <c r="A229" s="1" t="s">
        <v>537</v>
      </c>
      <c r="B229" s="2">
        <v>37.28</v>
      </c>
      <c r="C229" s="2">
        <v>120.52</v>
      </c>
      <c r="D229" s="2" t="s">
        <v>538</v>
      </c>
      <c r="H229" s="2" t="s">
        <v>2913</v>
      </c>
      <c r="J229" s="7" t="str">
        <f t="shared" si="36"/>
        <v>Merced</v>
      </c>
      <c r="K229" s="7" t="str">
        <f t="shared" si="37"/>
        <v xml:space="preserve">CA  </v>
      </c>
      <c r="L229" s="7" t="str">
        <f t="shared" si="32"/>
        <v xml:space="preserve">CA </v>
      </c>
      <c r="M229" s="7" t="str">
        <f t="shared" si="33"/>
        <v xml:space="preserve">CA </v>
      </c>
      <c r="N229" s="9">
        <f t="shared" si="38"/>
        <v>37.28</v>
      </c>
      <c r="O229" s="9">
        <f t="shared" si="39"/>
        <v>120.52</v>
      </c>
    </row>
    <row r="230" spans="1:15" x14ac:dyDescent="0.2">
      <c r="A230" s="1" t="s">
        <v>539</v>
      </c>
      <c r="B230" s="2">
        <v>32.869999999999997</v>
      </c>
      <c r="C230" s="2">
        <v>117.15</v>
      </c>
      <c r="D230" s="2" t="s">
        <v>540</v>
      </c>
      <c r="E230" s="2" t="s">
        <v>427</v>
      </c>
      <c r="H230" s="2" t="s">
        <v>2914</v>
      </c>
      <c r="J230" s="7" t="str">
        <f t="shared" si="36"/>
        <v>Miramar NA</v>
      </c>
      <c r="K230" s="7" t="str">
        <f t="shared" si="37"/>
        <v xml:space="preserve">,CA </v>
      </c>
      <c r="L230" s="7" t="str">
        <f t="shared" si="32"/>
        <v>,CA</v>
      </c>
      <c r="M230" s="7" t="str">
        <f t="shared" si="33"/>
        <v>CA</v>
      </c>
      <c r="N230" s="9">
        <f t="shared" si="38"/>
        <v>32.869999999999997</v>
      </c>
      <c r="O230" s="9">
        <f t="shared" si="39"/>
        <v>117.15</v>
      </c>
    </row>
    <row r="231" spans="1:15" x14ac:dyDescent="0.2">
      <c r="A231" s="1" t="s">
        <v>541</v>
      </c>
      <c r="B231" s="2">
        <v>37.630000000000003</v>
      </c>
      <c r="C231" s="2">
        <v>120.95</v>
      </c>
      <c r="D231" s="2" t="s">
        <v>542</v>
      </c>
      <c r="H231" s="2" t="s">
        <v>2915</v>
      </c>
      <c r="J231" s="7" t="str">
        <f t="shared" si="36"/>
        <v>Modesto</v>
      </c>
      <c r="K231" s="7" t="str">
        <f t="shared" si="37"/>
        <v xml:space="preserve">CA  </v>
      </c>
      <c r="L231" s="7" t="str">
        <f t="shared" si="32"/>
        <v xml:space="preserve">CA </v>
      </c>
      <c r="M231" s="7" t="str">
        <f t="shared" si="33"/>
        <v xml:space="preserve">CA </v>
      </c>
      <c r="N231" s="9">
        <f t="shared" si="38"/>
        <v>37.630000000000003</v>
      </c>
      <c r="O231" s="9">
        <f t="shared" si="39"/>
        <v>120.95</v>
      </c>
    </row>
    <row r="232" spans="1:15" x14ac:dyDescent="0.2">
      <c r="A232" s="1" t="s">
        <v>543</v>
      </c>
      <c r="B232" s="2">
        <v>37.42</v>
      </c>
      <c r="C232" s="2">
        <v>122.05</v>
      </c>
      <c r="D232" s="2" t="s">
        <v>544</v>
      </c>
      <c r="E232" s="2" t="s">
        <v>427</v>
      </c>
      <c r="H232" s="2" t="s">
        <v>2916</v>
      </c>
      <c r="J232" s="7" t="str">
        <f t="shared" si="36"/>
        <v>Moffet NA</v>
      </c>
      <c r="K232" s="7" t="str">
        <f t="shared" si="37"/>
        <v xml:space="preserve">,CA </v>
      </c>
      <c r="L232" s="7" t="str">
        <f t="shared" si="32"/>
        <v>,CA</v>
      </c>
      <c r="M232" s="7" t="str">
        <f t="shared" si="33"/>
        <v>CA</v>
      </c>
      <c r="N232" s="9">
        <f t="shared" si="38"/>
        <v>37.42</v>
      </c>
      <c r="O232" s="9">
        <f t="shared" si="39"/>
        <v>122.05</v>
      </c>
    </row>
    <row r="233" spans="1:15" x14ac:dyDescent="0.2">
      <c r="A233" s="1" t="s">
        <v>545</v>
      </c>
      <c r="B233" s="2">
        <v>35.049999999999997</v>
      </c>
      <c r="C233" s="2">
        <v>118.15</v>
      </c>
      <c r="D233" s="2" t="s">
        <v>546</v>
      </c>
      <c r="H233" s="2" t="s">
        <v>2917</v>
      </c>
      <c r="J233" s="7" t="str">
        <f t="shared" si="36"/>
        <v>Mojave</v>
      </c>
      <c r="K233" s="7" t="str">
        <f t="shared" si="37"/>
        <v xml:space="preserve">CA  </v>
      </c>
      <c r="L233" s="7" t="str">
        <f t="shared" si="32"/>
        <v xml:space="preserve">CA </v>
      </c>
      <c r="M233" s="7" t="str">
        <f t="shared" si="33"/>
        <v xml:space="preserve">CA </v>
      </c>
      <c r="N233" s="9">
        <f t="shared" si="38"/>
        <v>35.049999999999997</v>
      </c>
      <c r="O233" s="9">
        <f t="shared" si="39"/>
        <v>118.15</v>
      </c>
    </row>
    <row r="234" spans="1:15" x14ac:dyDescent="0.2">
      <c r="A234" s="1" t="s">
        <v>547</v>
      </c>
      <c r="B234" s="2">
        <v>41.73</v>
      </c>
      <c r="C234" s="2">
        <v>122.53</v>
      </c>
      <c r="D234" s="2" t="s">
        <v>548</v>
      </c>
      <c r="H234" s="2" t="s">
        <v>2918</v>
      </c>
      <c r="J234" s="7" t="str">
        <f t="shared" si="36"/>
        <v>Montague</v>
      </c>
      <c r="K234" s="7" t="str">
        <f t="shared" si="37"/>
        <v xml:space="preserve">CA  </v>
      </c>
      <c r="L234" s="7" t="str">
        <f t="shared" si="32"/>
        <v xml:space="preserve">CA </v>
      </c>
      <c r="M234" s="7" t="str">
        <f t="shared" si="33"/>
        <v xml:space="preserve">CA </v>
      </c>
      <c r="N234" s="9">
        <f t="shared" si="38"/>
        <v>41.73</v>
      </c>
      <c r="O234" s="9">
        <f t="shared" si="39"/>
        <v>122.53</v>
      </c>
    </row>
    <row r="235" spans="1:15" x14ac:dyDescent="0.2">
      <c r="A235" s="1" t="s">
        <v>549</v>
      </c>
      <c r="B235" s="2">
        <v>36.58</v>
      </c>
      <c r="C235" s="2">
        <v>121.85</v>
      </c>
      <c r="D235" s="2" t="s">
        <v>550</v>
      </c>
      <c r="H235" s="2" t="s">
        <v>2919</v>
      </c>
      <c r="J235" s="7" t="str">
        <f t="shared" si="36"/>
        <v>Monterey</v>
      </c>
      <c r="K235" s="7" t="str">
        <f t="shared" si="37"/>
        <v xml:space="preserve">CA  </v>
      </c>
      <c r="L235" s="7" t="str">
        <f t="shared" si="32"/>
        <v xml:space="preserve">CA </v>
      </c>
      <c r="M235" s="7" t="str">
        <f t="shared" si="33"/>
        <v xml:space="preserve">CA </v>
      </c>
      <c r="N235" s="9">
        <f t="shared" si="38"/>
        <v>36.58</v>
      </c>
      <c r="O235" s="9">
        <f t="shared" si="39"/>
        <v>121.85</v>
      </c>
    </row>
    <row r="236" spans="1:15" x14ac:dyDescent="0.2">
      <c r="A236" s="1" t="s">
        <v>551</v>
      </c>
      <c r="B236" s="2">
        <v>41.32</v>
      </c>
      <c r="C236" s="2">
        <v>122.32</v>
      </c>
      <c r="D236" s="2" t="s">
        <v>552</v>
      </c>
      <c r="E236" s="2" t="s">
        <v>553</v>
      </c>
      <c r="H236" s="2" t="s">
        <v>2920</v>
      </c>
      <c r="J236" s="7" t="str">
        <f t="shared" si="36"/>
        <v>Mount Shast</v>
      </c>
      <c r="K236" s="7" t="str">
        <f t="shared" si="37"/>
        <v xml:space="preserve">,CA </v>
      </c>
      <c r="L236" s="7" t="str">
        <f t="shared" si="32"/>
        <v>,CA</v>
      </c>
      <c r="M236" s="7" t="str">
        <f t="shared" si="33"/>
        <v>CA</v>
      </c>
      <c r="N236" s="9">
        <f t="shared" si="38"/>
        <v>41.32</v>
      </c>
      <c r="O236" s="9">
        <f t="shared" si="39"/>
        <v>122.32</v>
      </c>
    </row>
    <row r="237" spans="1:15" x14ac:dyDescent="0.2">
      <c r="A237" s="1" t="s">
        <v>554</v>
      </c>
      <c r="B237" s="2">
        <v>34.229999999999997</v>
      </c>
      <c r="C237" s="2">
        <v>118.07</v>
      </c>
      <c r="D237" s="2" t="s">
        <v>552</v>
      </c>
      <c r="E237" s="2" t="s">
        <v>555</v>
      </c>
      <c r="H237" s="2" t="s">
        <v>2921</v>
      </c>
      <c r="J237" s="7" t="str">
        <f t="shared" si="36"/>
        <v>Mount Wilso</v>
      </c>
      <c r="K237" s="7" t="str">
        <f t="shared" si="37"/>
        <v xml:space="preserve">,CA </v>
      </c>
      <c r="L237" s="7" t="str">
        <f t="shared" si="32"/>
        <v>,CA</v>
      </c>
      <c r="M237" s="7" t="str">
        <f t="shared" si="33"/>
        <v>CA</v>
      </c>
      <c r="N237" s="9">
        <f t="shared" si="38"/>
        <v>34.229999999999997</v>
      </c>
      <c r="O237" s="9">
        <f t="shared" si="39"/>
        <v>118.07</v>
      </c>
    </row>
    <row r="238" spans="1:15" x14ac:dyDescent="0.2">
      <c r="A238" s="1" t="s">
        <v>556</v>
      </c>
      <c r="B238" s="2">
        <v>38.22</v>
      </c>
      <c r="C238" s="2">
        <v>122.28</v>
      </c>
      <c r="D238" s="2" t="s">
        <v>557</v>
      </c>
      <c r="H238" s="2" t="s">
        <v>2922</v>
      </c>
      <c r="J238" s="7" t="str">
        <f t="shared" si="36"/>
        <v>Napa</v>
      </c>
      <c r="K238" s="7" t="str">
        <f t="shared" si="37"/>
        <v xml:space="preserve">CA  </v>
      </c>
      <c r="L238" s="7" t="str">
        <f t="shared" si="32"/>
        <v xml:space="preserve">CA </v>
      </c>
      <c r="M238" s="7" t="str">
        <f t="shared" si="33"/>
        <v xml:space="preserve">CA </v>
      </c>
      <c r="N238" s="9">
        <f t="shared" si="38"/>
        <v>38.22</v>
      </c>
      <c r="O238" s="9">
        <f t="shared" si="39"/>
        <v>122.28</v>
      </c>
    </row>
    <row r="239" spans="1:15" x14ac:dyDescent="0.2">
      <c r="A239" s="1" t="s">
        <v>558</v>
      </c>
      <c r="B239" s="2">
        <v>34.770000000000003</v>
      </c>
      <c r="C239" s="2">
        <v>114.62</v>
      </c>
      <c r="D239" s="2" t="s">
        <v>559</v>
      </c>
      <c r="H239" s="2" t="s">
        <v>2923</v>
      </c>
      <c r="J239" s="7" t="str">
        <f t="shared" si="36"/>
        <v>Needles</v>
      </c>
      <c r="K239" s="7" t="str">
        <f t="shared" si="37"/>
        <v xml:space="preserve">CA  </v>
      </c>
      <c r="L239" s="7" t="str">
        <f t="shared" si="32"/>
        <v xml:space="preserve">CA </v>
      </c>
      <c r="M239" s="7" t="str">
        <f t="shared" si="33"/>
        <v xml:space="preserve">CA </v>
      </c>
      <c r="N239" s="9">
        <f t="shared" si="38"/>
        <v>34.770000000000003</v>
      </c>
      <c r="O239" s="9">
        <f t="shared" si="39"/>
        <v>114.62</v>
      </c>
    </row>
    <row r="240" spans="1:15" x14ac:dyDescent="0.2">
      <c r="A240" s="1" t="s">
        <v>560</v>
      </c>
      <c r="B240" s="2">
        <v>32.700000000000003</v>
      </c>
      <c r="C240" s="2">
        <v>117.2</v>
      </c>
      <c r="D240" s="2" t="s">
        <v>49</v>
      </c>
      <c r="E240" s="2" t="s">
        <v>561</v>
      </c>
      <c r="H240" s="2" t="s">
        <v>2924</v>
      </c>
      <c r="J240" s="7" t="str">
        <f t="shared" si="36"/>
        <v>North I</v>
      </c>
      <c r="K240" s="7" t="str">
        <f t="shared" si="37"/>
        <v xml:space="preserve">,CA </v>
      </c>
      <c r="L240" s="7" t="str">
        <f t="shared" si="32"/>
        <v>,CA</v>
      </c>
      <c r="M240" s="7" t="str">
        <f t="shared" si="33"/>
        <v>CA</v>
      </c>
      <c r="N240" s="9">
        <f t="shared" si="38"/>
        <v>32.700000000000003</v>
      </c>
      <c r="O240" s="9">
        <f t="shared" si="39"/>
        <v>117.2</v>
      </c>
    </row>
    <row r="241" spans="1:15" x14ac:dyDescent="0.2">
      <c r="A241" s="1" t="s">
        <v>562</v>
      </c>
      <c r="B241" s="2">
        <v>34.1</v>
      </c>
      <c r="C241" s="2">
        <v>117.23</v>
      </c>
      <c r="D241" s="2" t="s">
        <v>563</v>
      </c>
      <c r="E241" s="2" t="s">
        <v>436</v>
      </c>
      <c r="H241" s="2" t="s">
        <v>2925</v>
      </c>
      <c r="J241" s="7" t="str">
        <f t="shared" si="36"/>
        <v>Norton AF</v>
      </c>
      <c r="K241" s="7" t="str">
        <f t="shared" si="37"/>
        <v xml:space="preserve">,CA </v>
      </c>
      <c r="L241" s="7" t="str">
        <f t="shared" si="32"/>
        <v>,CA</v>
      </c>
      <c r="M241" s="7" t="str">
        <f t="shared" si="33"/>
        <v>CA</v>
      </c>
      <c r="N241" s="9">
        <f t="shared" si="38"/>
        <v>34.1</v>
      </c>
      <c r="O241" s="9">
        <f t="shared" si="39"/>
        <v>117.23</v>
      </c>
    </row>
    <row r="242" spans="1:15" x14ac:dyDescent="0.2">
      <c r="A242" s="1" t="s">
        <v>564</v>
      </c>
      <c r="B242" s="2">
        <v>37.729999999999997</v>
      </c>
      <c r="C242" s="2">
        <v>122.22</v>
      </c>
      <c r="D242" s="2" t="s">
        <v>565</v>
      </c>
      <c r="H242" s="2" t="s">
        <v>2926</v>
      </c>
      <c r="J242" s="7" t="str">
        <f t="shared" si="36"/>
        <v>Oakland</v>
      </c>
      <c r="K242" s="7" t="str">
        <f t="shared" si="37"/>
        <v xml:space="preserve">CA  </v>
      </c>
      <c r="L242" s="7" t="str">
        <f t="shared" si="32"/>
        <v xml:space="preserve">CA </v>
      </c>
      <c r="M242" s="7" t="str">
        <f t="shared" si="33"/>
        <v xml:space="preserve">CA </v>
      </c>
      <c r="N242" s="9">
        <f t="shared" si="38"/>
        <v>37.729999999999997</v>
      </c>
      <c r="O242" s="9">
        <f t="shared" si="39"/>
        <v>122.22</v>
      </c>
    </row>
    <row r="243" spans="1:15" x14ac:dyDescent="0.2">
      <c r="A243" s="1" t="s">
        <v>566</v>
      </c>
      <c r="B243" s="2">
        <v>34.049999999999997</v>
      </c>
      <c r="C243" s="2">
        <v>117.62</v>
      </c>
      <c r="D243" s="2" t="s">
        <v>567</v>
      </c>
      <c r="E243" s="2" t="s">
        <v>568</v>
      </c>
      <c r="H243" s="2" t="s">
        <v>2927</v>
      </c>
      <c r="J243" s="7" t="str">
        <f t="shared" si="36"/>
        <v>Ontario Int</v>
      </c>
      <c r="K243" s="7" t="str">
        <f t="shared" si="37"/>
        <v xml:space="preserve">,CA </v>
      </c>
      <c r="L243" s="7" t="str">
        <f t="shared" si="32"/>
        <v>,CA</v>
      </c>
      <c r="M243" s="7" t="str">
        <f t="shared" si="33"/>
        <v>CA</v>
      </c>
      <c r="N243" s="9">
        <f t="shared" si="38"/>
        <v>34.049999999999997</v>
      </c>
      <c r="O243" s="9">
        <f t="shared" si="39"/>
        <v>117.62</v>
      </c>
    </row>
    <row r="244" spans="1:15" x14ac:dyDescent="0.2">
      <c r="A244" s="1" t="s">
        <v>569</v>
      </c>
      <c r="B244" s="2">
        <v>34.200000000000003</v>
      </c>
      <c r="C244" s="2">
        <v>119.2</v>
      </c>
      <c r="D244" s="2" t="s">
        <v>570</v>
      </c>
      <c r="H244" s="2" t="s">
        <v>2928</v>
      </c>
      <c r="J244" s="7" t="str">
        <f t="shared" si="36"/>
        <v>Oxnard</v>
      </c>
      <c r="K244" s="7" t="str">
        <f t="shared" si="37"/>
        <v xml:space="preserve">CA  </v>
      </c>
      <c r="L244" s="7" t="str">
        <f t="shared" ref="L244:L298" si="40">LEFT(K244,LEN(K244)-1)</f>
        <v xml:space="preserve">CA </v>
      </c>
      <c r="M244" s="7" t="str">
        <f t="shared" ref="M244:M298" si="41">SUBSTITUTE(L244,",","")</f>
        <v xml:space="preserve">CA </v>
      </c>
      <c r="N244" s="9">
        <f t="shared" si="38"/>
        <v>34.200000000000003</v>
      </c>
      <c r="O244" s="9">
        <f t="shared" si="39"/>
        <v>119.2</v>
      </c>
    </row>
    <row r="245" spans="1:15" x14ac:dyDescent="0.2">
      <c r="A245" s="1" t="s">
        <v>571</v>
      </c>
      <c r="B245" s="2">
        <v>33.83</v>
      </c>
      <c r="C245" s="2">
        <v>116.5</v>
      </c>
      <c r="D245" s="2" t="s">
        <v>572</v>
      </c>
      <c r="E245" s="2" t="s">
        <v>573</v>
      </c>
      <c r="H245" s="2" t="s">
        <v>2929</v>
      </c>
      <c r="J245" s="7" t="str">
        <f t="shared" si="36"/>
        <v>Palm Spring</v>
      </c>
      <c r="K245" s="7" t="str">
        <f t="shared" si="37"/>
        <v xml:space="preserve">,CA </v>
      </c>
      <c r="L245" s="7" t="str">
        <f t="shared" si="40"/>
        <v>,CA</v>
      </c>
      <c r="M245" s="7" t="str">
        <f t="shared" si="41"/>
        <v>CA</v>
      </c>
      <c r="N245" s="9">
        <f t="shared" si="38"/>
        <v>33.83</v>
      </c>
      <c r="O245" s="9">
        <f t="shared" si="39"/>
        <v>116.5</v>
      </c>
    </row>
    <row r="246" spans="1:15" x14ac:dyDescent="0.2">
      <c r="A246" s="1" t="s">
        <v>574</v>
      </c>
      <c r="B246" s="2">
        <v>35.049999999999997</v>
      </c>
      <c r="C246" s="2">
        <v>118.13</v>
      </c>
      <c r="D246" s="2" t="s">
        <v>575</v>
      </c>
      <c r="H246" s="2" t="s">
        <v>2930</v>
      </c>
      <c r="J246" s="7" t="str">
        <f t="shared" si="36"/>
        <v>Palmdale</v>
      </c>
      <c r="K246" s="7" t="str">
        <f t="shared" si="37"/>
        <v xml:space="preserve">CA  </v>
      </c>
      <c r="L246" s="7" t="str">
        <f t="shared" si="40"/>
        <v xml:space="preserve">CA </v>
      </c>
      <c r="M246" s="7" t="str">
        <f t="shared" si="41"/>
        <v xml:space="preserve">CA </v>
      </c>
      <c r="N246" s="9">
        <f t="shared" si="38"/>
        <v>35.049999999999997</v>
      </c>
      <c r="O246" s="9">
        <f t="shared" si="39"/>
        <v>118.13</v>
      </c>
    </row>
    <row r="247" spans="1:15" x14ac:dyDescent="0.2">
      <c r="A247" s="1" t="s">
        <v>576</v>
      </c>
      <c r="B247" s="2">
        <v>37.47</v>
      </c>
      <c r="C247" s="2">
        <v>122.12</v>
      </c>
      <c r="D247" s="2" t="s">
        <v>577</v>
      </c>
      <c r="E247" s="2" t="s">
        <v>578</v>
      </c>
      <c r="H247" s="2" t="s">
        <v>2931</v>
      </c>
      <c r="J247" s="7" t="str">
        <f t="shared" si="36"/>
        <v>Palo Alt</v>
      </c>
      <c r="K247" s="7" t="str">
        <f t="shared" si="37"/>
        <v xml:space="preserve">,CA </v>
      </c>
      <c r="L247" s="7" t="str">
        <f t="shared" si="40"/>
        <v>,CA</v>
      </c>
      <c r="M247" s="7" t="str">
        <f t="shared" si="41"/>
        <v>CA</v>
      </c>
      <c r="N247" s="9">
        <f t="shared" si="38"/>
        <v>37.47</v>
      </c>
      <c r="O247" s="9">
        <f t="shared" si="39"/>
        <v>122.12</v>
      </c>
    </row>
    <row r="248" spans="1:15" x14ac:dyDescent="0.2">
      <c r="A248" s="1" t="s">
        <v>579</v>
      </c>
      <c r="B248" s="2">
        <v>35.67</v>
      </c>
      <c r="C248" s="2">
        <v>120.63</v>
      </c>
      <c r="D248" s="2" t="s">
        <v>580</v>
      </c>
      <c r="E248" s="2" t="s">
        <v>581</v>
      </c>
      <c r="H248" s="2" t="s">
        <v>2932</v>
      </c>
      <c r="J248" s="7" t="str">
        <f t="shared" si="36"/>
        <v>Paso Roble</v>
      </c>
      <c r="K248" s="7" t="str">
        <f t="shared" si="37"/>
        <v xml:space="preserve">,CA </v>
      </c>
      <c r="L248" s="7" t="str">
        <f t="shared" si="40"/>
        <v>,CA</v>
      </c>
      <c r="M248" s="7" t="str">
        <f t="shared" si="41"/>
        <v>CA</v>
      </c>
      <c r="N248" s="9">
        <f t="shared" si="38"/>
        <v>35.67</v>
      </c>
      <c r="O248" s="9">
        <f t="shared" si="39"/>
        <v>120.63</v>
      </c>
    </row>
    <row r="249" spans="1:15" x14ac:dyDescent="0.2">
      <c r="A249" s="1" t="s">
        <v>582</v>
      </c>
      <c r="B249" s="2">
        <v>37.83</v>
      </c>
      <c r="C249" s="2">
        <v>122.83</v>
      </c>
      <c r="D249" s="2" t="s">
        <v>583</v>
      </c>
      <c r="E249" s="2" t="s">
        <v>584</v>
      </c>
      <c r="H249" s="2" t="s">
        <v>2933</v>
      </c>
      <c r="J249" s="7" t="str">
        <f t="shared" si="36"/>
        <v>Pillaro P</v>
      </c>
      <c r="K249" s="7" t="str">
        <f t="shared" si="37"/>
        <v xml:space="preserve">,CA </v>
      </c>
      <c r="L249" s="7" t="str">
        <f t="shared" si="40"/>
        <v>,CA</v>
      </c>
      <c r="M249" s="7" t="str">
        <f t="shared" si="41"/>
        <v>CA</v>
      </c>
      <c r="N249" s="9">
        <f t="shared" si="38"/>
        <v>37.83</v>
      </c>
      <c r="O249" s="9">
        <f t="shared" si="39"/>
        <v>122.83</v>
      </c>
    </row>
    <row r="250" spans="1:15" x14ac:dyDescent="0.2">
      <c r="A250" s="1" t="s">
        <v>585</v>
      </c>
      <c r="B250" s="2">
        <v>34.119999999999997</v>
      </c>
      <c r="C250" s="2">
        <v>119.12</v>
      </c>
      <c r="D250" s="2" t="s">
        <v>265</v>
      </c>
      <c r="E250" s="2" t="s">
        <v>586</v>
      </c>
      <c r="H250" s="2" t="s">
        <v>2934</v>
      </c>
      <c r="J250" s="7" t="str">
        <f t="shared" si="36"/>
        <v>Point Mug</v>
      </c>
      <c r="K250" s="7" t="str">
        <f t="shared" si="37"/>
        <v xml:space="preserve">,CA </v>
      </c>
      <c r="L250" s="7" t="str">
        <f t="shared" si="40"/>
        <v>,CA</v>
      </c>
      <c r="M250" s="7" t="str">
        <f t="shared" si="41"/>
        <v>CA</v>
      </c>
      <c r="N250" s="9">
        <f t="shared" si="38"/>
        <v>34.119999999999997</v>
      </c>
      <c r="O250" s="9">
        <f t="shared" si="39"/>
        <v>119.12</v>
      </c>
    </row>
    <row r="251" spans="1:15" x14ac:dyDescent="0.2">
      <c r="A251" s="1" t="s">
        <v>587</v>
      </c>
      <c r="B251" s="2">
        <v>39.58</v>
      </c>
      <c r="C251" s="2">
        <v>124.22</v>
      </c>
      <c r="D251" s="2" t="s">
        <v>280</v>
      </c>
      <c r="E251" s="2" t="s">
        <v>588</v>
      </c>
      <c r="H251" s="2" t="s">
        <v>2935</v>
      </c>
      <c r="J251" s="7" t="str">
        <f t="shared" si="36"/>
        <v>Pt Aren</v>
      </c>
      <c r="K251" s="7" t="str">
        <f t="shared" si="37"/>
        <v xml:space="preserve">,CA </v>
      </c>
      <c r="L251" s="7" t="str">
        <f t="shared" si="40"/>
        <v>,CA</v>
      </c>
      <c r="M251" s="7" t="str">
        <f t="shared" si="41"/>
        <v>CA</v>
      </c>
      <c r="N251" s="9">
        <f t="shared" si="38"/>
        <v>39.58</v>
      </c>
      <c r="O251" s="9">
        <f t="shared" si="39"/>
        <v>124.22</v>
      </c>
    </row>
    <row r="252" spans="1:15" x14ac:dyDescent="0.2">
      <c r="A252" s="1" t="s">
        <v>589</v>
      </c>
      <c r="B252" s="2">
        <v>34.950000000000003</v>
      </c>
      <c r="C252" s="2">
        <v>121.12</v>
      </c>
      <c r="D252" s="2" t="s">
        <v>280</v>
      </c>
      <c r="E252" s="2" t="s">
        <v>590</v>
      </c>
      <c r="H252" s="2" t="s">
        <v>2936</v>
      </c>
      <c r="J252" s="7" t="str">
        <f t="shared" si="36"/>
        <v>Pt Arguell</v>
      </c>
      <c r="K252" s="7" t="str">
        <f t="shared" si="37"/>
        <v xml:space="preserve">,CA </v>
      </c>
      <c r="L252" s="7" t="str">
        <f t="shared" si="40"/>
        <v>,CA</v>
      </c>
      <c r="M252" s="7" t="str">
        <f t="shared" si="41"/>
        <v>CA</v>
      </c>
      <c r="N252" s="9">
        <f t="shared" si="38"/>
        <v>34.950000000000003</v>
      </c>
      <c r="O252" s="9">
        <f t="shared" si="39"/>
        <v>121.12</v>
      </c>
    </row>
    <row r="253" spans="1:15" x14ac:dyDescent="0.2">
      <c r="A253" s="1" t="s">
        <v>591</v>
      </c>
      <c r="B253" s="2">
        <v>35.67</v>
      </c>
      <c r="C253" s="2">
        <v>121.28</v>
      </c>
      <c r="D253" s="2" t="s">
        <v>280</v>
      </c>
      <c r="E253" s="2" t="s">
        <v>592</v>
      </c>
      <c r="H253" s="2" t="s">
        <v>2937</v>
      </c>
      <c r="J253" s="7" t="str">
        <f t="shared" si="36"/>
        <v>Pt Piedra</v>
      </c>
      <c r="K253" s="7" t="str">
        <f t="shared" si="37"/>
        <v xml:space="preserve">,CA </v>
      </c>
      <c r="L253" s="7" t="str">
        <f t="shared" si="40"/>
        <v>,CA</v>
      </c>
      <c r="M253" s="7" t="str">
        <f t="shared" si="41"/>
        <v>CA</v>
      </c>
      <c r="N253" s="9">
        <f t="shared" si="38"/>
        <v>35.67</v>
      </c>
      <c r="O253" s="9">
        <f t="shared" si="39"/>
        <v>121.28</v>
      </c>
    </row>
    <row r="254" spans="1:15" x14ac:dyDescent="0.2">
      <c r="A254" s="1" t="s">
        <v>593</v>
      </c>
      <c r="B254" s="2">
        <v>36.119999999999997</v>
      </c>
      <c r="C254" s="2">
        <v>121.47</v>
      </c>
      <c r="D254" s="2" t="s">
        <v>280</v>
      </c>
      <c r="E254" s="2" t="s">
        <v>592</v>
      </c>
      <c r="H254" s="2" t="s">
        <v>2937</v>
      </c>
      <c r="J254" s="7" t="str">
        <f t="shared" si="36"/>
        <v>Pt Piedra</v>
      </c>
      <c r="K254" s="7" t="str">
        <f t="shared" si="37"/>
        <v xml:space="preserve">,CA </v>
      </c>
      <c r="L254" s="7" t="str">
        <f t="shared" si="40"/>
        <v>,CA</v>
      </c>
      <c r="M254" s="7" t="str">
        <f t="shared" si="41"/>
        <v>CA</v>
      </c>
      <c r="N254" s="9">
        <f t="shared" si="38"/>
        <v>36.119999999999997</v>
      </c>
      <c r="O254" s="9">
        <f t="shared" si="39"/>
        <v>121.47</v>
      </c>
    </row>
    <row r="255" spans="1:15" x14ac:dyDescent="0.2">
      <c r="A255" s="1" t="s">
        <v>594</v>
      </c>
      <c r="B255" s="2">
        <v>40.15</v>
      </c>
      <c r="C255" s="2">
        <v>122.25</v>
      </c>
      <c r="D255" s="2" t="s">
        <v>595</v>
      </c>
      <c r="E255" s="2" t="s">
        <v>596</v>
      </c>
      <c r="H255" s="2" t="s">
        <v>2938</v>
      </c>
      <c r="J255" s="7" t="str">
        <f t="shared" si="36"/>
        <v>Red Bluf</v>
      </c>
      <c r="K255" s="7" t="str">
        <f t="shared" si="37"/>
        <v xml:space="preserve">,CA </v>
      </c>
      <c r="L255" s="7" t="str">
        <f t="shared" si="40"/>
        <v>,CA</v>
      </c>
      <c r="M255" s="7" t="str">
        <f t="shared" si="41"/>
        <v>CA</v>
      </c>
      <c r="N255" s="9">
        <f t="shared" si="38"/>
        <v>40.15</v>
      </c>
      <c r="O255" s="9">
        <f t="shared" si="39"/>
        <v>122.25</v>
      </c>
    </row>
    <row r="256" spans="1:15" x14ac:dyDescent="0.2">
      <c r="A256" s="1" t="s">
        <v>597</v>
      </c>
      <c r="B256" s="2">
        <v>40.5</v>
      </c>
      <c r="C256" s="2">
        <v>122.3</v>
      </c>
      <c r="D256" s="2" t="s">
        <v>598</v>
      </c>
      <c r="H256" s="2" t="s">
        <v>2939</v>
      </c>
      <c r="J256" s="7" t="str">
        <f t="shared" si="36"/>
        <v>Redding</v>
      </c>
      <c r="K256" s="7" t="str">
        <f t="shared" si="37"/>
        <v xml:space="preserve">CA  </v>
      </c>
      <c r="L256" s="7" t="str">
        <f t="shared" si="40"/>
        <v xml:space="preserve">CA </v>
      </c>
      <c r="M256" s="7" t="str">
        <f t="shared" si="41"/>
        <v xml:space="preserve">CA </v>
      </c>
      <c r="N256" s="9">
        <f t="shared" si="38"/>
        <v>40.5</v>
      </c>
      <c r="O256" s="9">
        <f t="shared" si="39"/>
        <v>122.3</v>
      </c>
    </row>
    <row r="257" spans="1:15" x14ac:dyDescent="0.2">
      <c r="A257" s="1" t="s">
        <v>599</v>
      </c>
      <c r="B257" s="2">
        <v>33.950000000000003</v>
      </c>
      <c r="C257" s="2">
        <v>117.45</v>
      </c>
      <c r="D257" s="2" t="s">
        <v>600</v>
      </c>
      <c r="H257" s="2" t="s">
        <v>2940</v>
      </c>
      <c r="J257" s="7" t="str">
        <f t="shared" si="36"/>
        <v>Riverside</v>
      </c>
      <c r="K257" s="7" t="str">
        <f t="shared" si="37"/>
        <v xml:space="preserve">CA  </v>
      </c>
      <c r="L257" s="7" t="str">
        <f t="shared" si="40"/>
        <v xml:space="preserve">CA </v>
      </c>
      <c r="M257" s="7" t="str">
        <f t="shared" si="41"/>
        <v xml:space="preserve">CA </v>
      </c>
      <c r="N257" s="9">
        <f t="shared" si="38"/>
        <v>33.950000000000003</v>
      </c>
      <c r="O257" s="9">
        <f t="shared" si="39"/>
        <v>117.45</v>
      </c>
    </row>
    <row r="258" spans="1:15" x14ac:dyDescent="0.2">
      <c r="A258" s="1" t="s">
        <v>601</v>
      </c>
      <c r="B258" s="2">
        <v>38.520000000000003</v>
      </c>
      <c r="C258" s="2">
        <v>121.5</v>
      </c>
      <c r="D258" s="2" t="s">
        <v>602</v>
      </c>
      <c r="H258" s="2" t="s">
        <v>2941</v>
      </c>
      <c r="J258" s="7" t="str">
        <f t="shared" si="36"/>
        <v>Sacramento</v>
      </c>
      <c r="K258" s="7" t="str">
        <f t="shared" si="37"/>
        <v xml:space="preserve">CA  </v>
      </c>
      <c r="L258" s="7" t="str">
        <f t="shared" si="40"/>
        <v xml:space="preserve">CA </v>
      </c>
      <c r="M258" s="7" t="str">
        <f t="shared" si="41"/>
        <v xml:space="preserve">CA </v>
      </c>
      <c r="N258" s="9">
        <f t="shared" si="38"/>
        <v>38.520000000000003</v>
      </c>
      <c r="O258" s="9">
        <f t="shared" si="39"/>
        <v>121.5</v>
      </c>
    </row>
    <row r="259" spans="1:15" x14ac:dyDescent="0.2">
      <c r="A259" s="1" t="s">
        <v>603</v>
      </c>
      <c r="B259" s="2">
        <v>38.700000000000003</v>
      </c>
      <c r="C259" s="2">
        <v>121.6</v>
      </c>
      <c r="D259" s="2" t="s">
        <v>602</v>
      </c>
      <c r="H259" s="2" t="s">
        <v>2941</v>
      </c>
      <c r="J259" s="7" t="str">
        <f t="shared" si="36"/>
        <v>Sacramento</v>
      </c>
      <c r="K259" s="7" t="str">
        <f t="shared" si="37"/>
        <v xml:space="preserve">CA  </v>
      </c>
      <c r="L259" s="7" t="str">
        <f t="shared" si="40"/>
        <v xml:space="preserve">CA </v>
      </c>
      <c r="M259" s="7" t="str">
        <f t="shared" si="41"/>
        <v xml:space="preserve">CA </v>
      </c>
      <c r="N259" s="9">
        <f t="shared" si="38"/>
        <v>38.700000000000003</v>
      </c>
      <c r="O259" s="9">
        <f t="shared" si="39"/>
        <v>121.6</v>
      </c>
    </row>
    <row r="260" spans="1:15" x14ac:dyDescent="0.2">
      <c r="A260" s="1" t="s">
        <v>604</v>
      </c>
      <c r="B260" s="2">
        <v>36.67</v>
      </c>
      <c r="C260" s="2">
        <v>121.6</v>
      </c>
      <c r="D260" s="2" t="s">
        <v>605</v>
      </c>
      <c r="H260" s="2" t="s">
        <v>2942</v>
      </c>
      <c r="J260" s="7" t="str">
        <f t="shared" si="36"/>
        <v>Salinas</v>
      </c>
      <c r="K260" s="7" t="str">
        <f t="shared" si="37"/>
        <v xml:space="preserve">CA  </v>
      </c>
      <c r="L260" s="7" t="str">
        <f t="shared" si="40"/>
        <v xml:space="preserve">CA </v>
      </c>
      <c r="M260" s="7" t="str">
        <f t="shared" si="41"/>
        <v xml:space="preserve">CA </v>
      </c>
      <c r="N260" s="9">
        <f t="shared" si="38"/>
        <v>36.67</v>
      </c>
      <c r="O260" s="9">
        <f t="shared" si="39"/>
        <v>121.6</v>
      </c>
    </row>
    <row r="261" spans="1:15" x14ac:dyDescent="0.2">
      <c r="A261" s="1" t="s">
        <v>606</v>
      </c>
      <c r="B261" s="2">
        <v>37.520000000000003</v>
      </c>
      <c r="C261" s="2">
        <v>122.25</v>
      </c>
      <c r="D261" s="2" t="s">
        <v>607</v>
      </c>
      <c r="E261" s="2" t="s">
        <v>608</v>
      </c>
      <c r="H261" s="2" t="s">
        <v>2943</v>
      </c>
      <c r="J261" s="7" t="str">
        <f t="shared" si="36"/>
        <v>San Carlo</v>
      </c>
      <c r="K261" s="7" t="str">
        <f t="shared" si="37"/>
        <v xml:space="preserve">,CA </v>
      </c>
      <c r="L261" s="7" t="str">
        <f t="shared" si="40"/>
        <v>,CA</v>
      </c>
      <c r="M261" s="7" t="str">
        <f t="shared" si="41"/>
        <v>CA</v>
      </c>
      <c r="N261" s="9">
        <f t="shared" si="38"/>
        <v>37.520000000000003</v>
      </c>
      <c r="O261" s="9">
        <f t="shared" si="39"/>
        <v>122.25</v>
      </c>
    </row>
    <row r="262" spans="1:15" x14ac:dyDescent="0.2">
      <c r="A262" s="1" t="s">
        <v>609</v>
      </c>
      <c r="B262" s="2">
        <v>33.42</v>
      </c>
      <c r="C262" s="2">
        <v>117.62</v>
      </c>
      <c r="D262" s="2" t="s">
        <v>607</v>
      </c>
      <c r="E262" s="2" t="s">
        <v>610</v>
      </c>
      <c r="H262" s="2" t="s">
        <v>2944</v>
      </c>
      <c r="J262" s="7" t="str">
        <f t="shared" si="36"/>
        <v>San Clement</v>
      </c>
      <c r="K262" s="7" t="str">
        <f t="shared" si="37"/>
        <v xml:space="preserve">,CA </v>
      </c>
      <c r="L262" s="7" t="str">
        <f t="shared" si="40"/>
        <v>,CA</v>
      </c>
      <c r="M262" s="7" t="str">
        <f t="shared" si="41"/>
        <v>CA</v>
      </c>
      <c r="N262" s="9">
        <f t="shared" si="38"/>
        <v>33.42</v>
      </c>
      <c r="O262" s="9">
        <f t="shared" si="39"/>
        <v>117.62</v>
      </c>
    </row>
    <row r="263" spans="1:15" x14ac:dyDescent="0.2">
      <c r="A263" s="1" t="s">
        <v>611</v>
      </c>
      <c r="B263" s="2">
        <v>33.020000000000003</v>
      </c>
      <c r="C263" s="2">
        <v>118.58</v>
      </c>
      <c r="D263" s="2" t="s">
        <v>607</v>
      </c>
      <c r="E263" s="2" t="s">
        <v>610</v>
      </c>
      <c r="H263" s="2" t="s">
        <v>2944</v>
      </c>
      <c r="J263" s="7" t="str">
        <f t="shared" si="36"/>
        <v>San Clement</v>
      </c>
      <c r="K263" s="7" t="str">
        <f t="shared" si="37"/>
        <v xml:space="preserve">,CA </v>
      </c>
      <c r="L263" s="7" t="str">
        <f t="shared" si="40"/>
        <v>,CA</v>
      </c>
      <c r="M263" s="7" t="str">
        <f t="shared" si="41"/>
        <v>CA</v>
      </c>
      <c r="N263" s="9">
        <f t="shared" si="38"/>
        <v>33.020000000000003</v>
      </c>
      <c r="O263" s="9">
        <f t="shared" si="39"/>
        <v>118.58</v>
      </c>
    </row>
    <row r="264" spans="1:15" x14ac:dyDescent="0.2">
      <c r="A264" s="1" t="s">
        <v>612</v>
      </c>
      <c r="B264" s="2">
        <v>32.82</v>
      </c>
      <c r="C264" s="2">
        <v>117.13</v>
      </c>
      <c r="D264" s="2" t="s">
        <v>607</v>
      </c>
      <c r="E264" s="2" t="s">
        <v>613</v>
      </c>
      <c r="H264" s="2" t="s">
        <v>3860</v>
      </c>
      <c r="J264" s="7" t="str">
        <f t="shared" si="36"/>
        <v>San Diego</v>
      </c>
      <c r="K264" s="7" t="str">
        <f t="shared" si="37"/>
        <v xml:space="preserve">CA  </v>
      </c>
      <c r="L264" s="7" t="str">
        <f t="shared" si="40"/>
        <v xml:space="preserve">CA </v>
      </c>
      <c r="M264" s="7" t="str">
        <f t="shared" si="41"/>
        <v xml:space="preserve">CA </v>
      </c>
      <c r="N264" s="9">
        <f t="shared" si="38"/>
        <v>32.82</v>
      </c>
      <c r="O264" s="9">
        <f t="shared" si="39"/>
        <v>117.13</v>
      </c>
    </row>
    <row r="265" spans="1:15" x14ac:dyDescent="0.2">
      <c r="A265" s="1" t="s">
        <v>614</v>
      </c>
      <c r="B265" s="2">
        <v>32.729999999999997</v>
      </c>
      <c r="C265" s="2">
        <v>117.17</v>
      </c>
      <c r="D265" s="2" t="s">
        <v>607</v>
      </c>
      <c r="E265" s="2" t="s">
        <v>613</v>
      </c>
      <c r="H265" s="2" t="s">
        <v>2945</v>
      </c>
      <c r="J265" s="7" t="str">
        <f t="shared" si="36"/>
        <v>San Dieg</v>
      </c>
      <c r="K265" s="7" t="str">
        <f t="shared" si="37"/>
        <v xml:space="preserve">,CA </v>
      </c>
      <c r="L265" s="7" t="str">
        <f t="shared" si="40"/>
        <v>,CA</v>
      </c>
      <c r="M265" s="7" t="str">
        <f t="shared" si="41"/>
        <v>CA</v>
      </c>
      <c r="N265" s="9">
        <f t="shared" si="38"/>
        <v>32.729999999999997</v>
      </c>
      <c r="O265" s="9">
        <f t="shared" si="39"/>
        <v>117.17</v>
      </c>
    </row>
    <row r="266" spans="1:15" x14ac:dyDescent="0.2">
      <c r="A266" s="1" t="s">
        <v>615</v>
      </c>
      <c r="B266" s="2">
        <v>32.57</v>
      </c>
      <c r="C266" s="2">
        <v>116.98</v>
      </c>
      <c r="D266" s="2" t="s">
        <v>607</v>
      </c>
      <c r="E266" s="2" t="s">
        <v>613</v>
      </c>
      <c r="H266" s="2" t="s">
        <v>2945</v>
      </c>
      <c r="J266" s="7" t="str">
        <f t="shared" si="36"/>
        <v>San Dieg</v>
      </c>
      <c r="K266" s="7" t="str">
        <f t="shared" si="37"/>
        <v xml:space="preserve">,CA </v>
      </c>
      <c r="L266" s="7" t="str">
        <f t="shared" si="40"/>
        <v>,CA</v>
      </c>
      <c r="M266" s="7" t="str">
        <f t="shared" si="41"/>
        <v>CA</v>
      </c>
      <c r="N266" s="9">
        <f t="shared" si="38"/>
        <v>32.57</v>
      </c>
      <c r="O266" s="9">
        <f t="shared" si="39"/>
        <v>116.98</v>
      </c>
    </row>
    <row r="267" spans="1:15" x14ac:dyDescent="0.2">
      <c r="A267" s="1" t="s">
        <v>615</v>
      </c>
      <c r="B267" s="2">
        <v>32.57</v>
      </c>
      <c r="C267" s="2">
        <v>116.98</v>
      </c>
      <c r="D267" s="2" t="s">
        <v>607</v>
      </c>
      <c r="E267" s="2" t="s">
        <v>613</v>
      </c>
      <c r="H267" s="2" t="s">
        <v>2945</v>
      </c>
      <c r="J267" s="7" t="str">
        <f t="shared" si="36"/>
        <v>San Dieg</v>
      </c>
      <c r="K267" s="7" t="str">
        <f t="shared" si="37"/>
        <v xml:space="preserve">,CA </v>
      </c>
      <c r="L267" s="7" t="str">
        <f t="shared" si="40"/>
        <v>,CA</v>
      </c>
      <c r="M267" s="7" t="str">
        <f t="shared" si="41"/>
        <v>CA</v>
      </c>
      <c r="N267" s="9">
        <f t="shared" si="38"/>
        <v>32.57</v>
      </c>
      <c r="O267" s="9">
        <f t="shared" si="39"/>
        <v>116.98</v>
      </c>
    </row>
    <row r="268" spans="1:15" x14ac:dyDescent="0.2">
      <c r="A268" s="1" t="s">
        <v>616</v>
      </c>
      <c r="B268" s="2">
        <v>32.82</v>
      </c>
      <c r="C268" s="2">
        <v>116.97</v>
      </c>
      <c r="D268" s="2" t="s">
        <v>607</v>
      </c>
      <c r="E268" s="2" t="s">
        <v>613</v>
      </c>
      <c r="H268" s="2" t="s">
        <v>2945</v>
      </c>
      <c r="J268" s="7" t="str">
        <f t="shared" si="36"/>
        <v>San Dieg</v>
      </c>
      <c r="K268" s="7" t="str">
        <f t="shared" si="37"/>
        <v xml:space="preserve">,CA </v>
      </c>
      <c r="L268" s="7" t="str">
        <f t="shared" si="40"/>
        <v>,CA</v>
      </c>
      <c r="M268" s="7" t="str">
        <f t="shared" si="41"/>
        <v>CA</v>
      </c>
      <c r="N268" s="9">
        <f t="shared" si="38"/>
        <v>32.82</v>
      </c>
      <c r="O268" s="9">
        <f t="shared" si="39"/>
        <v>116.97</v>
      </c>
    </row>
    <row r="269" spans="1:15" x14ac:dyDescent="0.2">
      <c r="A269" s="1" t="s">
        <v>617</v>
      </c>
      <c r="B269" s="2">
        <v>37.75</v>
      </c>
      <c r="C269" s="2">
        <v>122.68</v>
      </c>
      <c r="D269" s="2" t="s">
        <v>607</v>
      </c>
      <c r="E269" s="2" t="s">
        <v>618</v>
      </c>
      <c r="H269" s="2" t="s">
        <v>3861</v>
      </c>
      <c r="J269" s="7" t="str">
        <f t="shared" si="36"/>
        <v>San Francisco</v>
      </c>
      <c r="K269" s="7" t="str">
        <f t="shared" si="37"/>
        <v xml:space="preserve">CA  </v>
      </c>
      <c r="L269" s="7" t="str">
        <f t="shared" si="40"/>
        <v xml:space="preserve">CA </v>
      </c>
      <c r="M269" s="7" t="str">
        <f t="shared" si="41"/>
        <v xml:space="preserve">CA </v>
      </c>
      <c r="N269" s="9">
        <f t="shared" si="38"/>
        <v>37.75</v>
      </c>
      <c r="O269" s="9">
        <f t="shared" si="39"/>
        <v>122.68</v>
      </c>
    </row>
    <row r="270" spans="1:15" x14ac:dyDescent="0.2">
      <c r="A270" s="1" t="s">
        <v>619</v>
      </c>
      <c r="B270" s="2">
        <v>37.619999999999997</v>
      </c>
      <c r="C270" s="2">
        <v>122.38</v>
      </c>
      <c r="D270" s="2" t="s">
        <v>607</v>
      </c>
      <c r="E270" s="2" t="s">
        <v>618</v>
      </c>
      <c r="H270" s="2" t="s">
        <v>2946</v>
      </c>
      <c r="J270" s="7" t="str">
        <f t="shared" si="36"/>
        <v>San Francisc</v>
      </c>
      <c r="K270" s="7" t="str">
        <f t="shared" si="37"/>
        <v xml:space="preserve">,CA </v>
      </c>
      <c r="L270" s="7" t="str">
        <f t="shared" si="40"/>
        <v>,CA</v>
      </c>
      <c r="M270" s="7" t="str">
        <f t="shared" si="41"/>
        <v>CA</v>
      </c>
      <c r="N270" s="9">
        <f t="shared" si="38"/>
        <v>37.619999999999997</v>
      </c>
      <c r="O270" s="9">
        <f t="shared" si="39"/>
        <v>122.38</v>
      </c>
    </row>
    <row r="271" spans="1:15" x14ac:dyDescent="0.2">
      <c r="A271" s="1" t="s">
        <v>620</v>
      </c>
      <c r="B271" s="2">
        <v>37.369999999999997</v>
      </c>
      <c r="C271" s="2">
        <v>121.92</v>
      </c>
      <c r="D271" s="2" t="s">
        <v>607</v>
      </c>
      <c r="E271" s="2" t="s">
        <v>621</v>
      </c>
      <c r="H271" s="2" t="s">
        <v>3862</v>
      </c>
      <c r="J271" s="7" t="str">
        <f t="shared" si="36"/>
        <v>San Jose</v>
      </c>
      <c r="K271" s="7" t="str">
        <f t="shared" si="37"/>
        <v xml:space="preserve">CA  </v>
      </c>
      <c r="L271" s="7" t="str">
        <f t="shared" si="40"/>
        <v xml:space="preserve">CA </v>
      </c>
      <c r="M271" s="7" t="str">
        <f t="shared" si="41"/>
        <v xml:space="preserve">CA </v>
      </c>
      <c r="N271" s="9">
        <f t="shared" si="38"/>
        <v>37.369999999999997</v>
      </c>
      <c r="O271" s="9">
        <f t="shared" si="39"/>
        <v>121.92</v>
      </c>
    </row>
    <row r="272" spans="1:15" x14ac:dyDescent="0.2">
      <c r="A272" s="1" t="s">
        <v>622</v>
      </c>
      <c r="B272" s="2">
        <v>37.33</v>
      </c>
      <c r="C272" s="2">
        <v>121.82</v>
      </c>
      <c r="D272" s="2" t="s">
        <v>607</v>
      </c>
      <c r="E272" s="2" t="s">
        <v>623</v>
      </c>
      <c r="H272" s="2" t="s">
        <v>2947</v>
      </c>
      <c r="J272" s="7" t="str">
        <f t="shared" si="36"/>
        <v>San Jose/Re</v>
      </c>
      <c r="K272" s="7" t="str">
        <f t="shared" si="37"/>
        <v xml:space="preserve">,CA </v>
      </c>
      <c r="L272" s="7" t="str">
        <f t="shared" si="40"/>
        <v>,CA</v>
      </c>
      <c r="M272" s="7" t="str">
        <f t="shared" si="41"/>
        <v>CA</v>
      </c>
      <c r="N272" s="9">
        <f t="shared" si="38"/>
        <v>37.33</v>
      </c>
      <c r="O272" s="9">
        <f t="shared" si="39"/>
        <v>121.82</v>
      </c>
    </row>
    <row r="273" spans="1:15" x14ac:dyDescent="0.2">
      <c r="A273" s="1" t="s">
        <v>624</v>
      </c>
      <c r="B273" s="2">
        <v>35.229999999999997</v>
      </c>
      <c r="C273" s="2">
        <v>120.65</v>
      </c>
      <c r="D273" s="2" t="s">
        <v>607</v>
      </c>
      <c r="E273" s="2" t="s">
        <v>625</v>
      </c>
      <c r="F273" s="2" t="s">
        <v>626</v>
      </c>
      <c r="H273" s="2" t="s">
        <v>2948</v>
      </c>
      <c r="J273" s="7" t="str">
        <f t="shared" si="36"/>
        <v>San Luis O</v>
      </c>
      <c r="K273" s="7" t="str">
        <f t="shared" si="37"/>
        <v>i,CA</v>
      </c>
      <c r="L273" s="7" t="str">
        <f t="shared" si="40"/>
        <v>i,C</v>
      </c>
      <c r="M273" s="7" t="str">
        <f t="shared" si="41"/>
        <v>iC</v>
      </c>
      <c r="N273" s="9">
        <f t="shared" si="38"/>
        <v>35.229999999999997</v>
      </c>
      <c r="O273" s="9">
        <f t="shared" si="39"/>
        <v>120.65</v>
      </c>
    </row>
    <row r="274" spans="1:15" x14ac:dyDescent="0.2">
      <c r="A274" s="1" t="s">
        <v>627</v>
      </c>
      <c r="B274" s="2">
        <v>33.380000000000003</v>
      </c>
      <c r="C274" s="2">
        <v>117.58</v>
      </c>
      <c r="D274" s="2" t="s">
        <v>607</v>
      </c>
      <c r="E274" s="2" t="s">
        <v>628</v>
      </c>
      <c r="H274" s="2" t="s">
        <v>2949</v>
      </c>
      <c r="J274" s="7" t="str">
        <f t="shared" si="36"/>
        <v>San Mate</v>
      </c>
      <c r="K274" s="7" t="str">
        <f t="shared" si="37"/>
        <v xml:space="preserve">,CA </v>
      </c>
      <c r="L274" s="7" t="str">
        <f t="shared" si="40"/>
        <v>,CA</v>
      </c>
      <c r="M274" s="7" t="str">
        <f t="shared" si="41"/>
        <v>CA</v>
      </c>
      <c r="N274" s="9">
        <f t="shared" si="38"/>
        <v>33.380000000000003</v>
      </c>
      <c r="O274" s="9">
        <f t="shared" si="39"/>
        <v>117.58</v>
      </c>
    </row>
    <row r="275" spans="1:15" x14ac:dyDescent="0.2">
      <c r="A275" s="1" t="s">
        <v>629</v>
      </c>
      <c r="B275" s="2">
        <v>34.03</v>
      </c>
      <c r="C275" s="2">
        <v>120.4</v>
      </c>
      <c r="D275" s="2" t="s">
        <v>607</v>
      </c>
      <c r="E275" s="2" t="s">
        <v>630</v>
      </c>
      <c r="H275" s="2" t="s">
        <v>2950</v>
      </c>
      <c r="J275" s="7" t="str">
        <f t="shared" si="36"/>
        <v>San Migue</v>
      </c>
      <c r="K275" s="7" t="str">
        <f t="shared" si="37"/>
        <v xml:space="preserve">,CA </v>
      </c>
      <c r="L275" s="7" t="str">
        <f t="shared" si="40"/>
        <v>,CA</v>
      </c>
      <c r="M275" s="7" t="str">
        <f t="shared" si="41"/>
        <v>CA</v>
      </c>
      <c r="N275" s="9">
        <f t="shared" si="38"/>
        <v>34.03</v>
      </c>
      <c r="O275" s="9">
        <f t="shared" si="39"/>
        <v>120.4</v>
      </c>
    </row>
    <row r="276" spans="1:15" x14ac:dyDescent="0.2">
      <c r="A276" s="1" t="s">
        <v>631</v>
      </c>
      <c r="B276" s="2">
        <v>33.25</v>
      </c>
      <c r="C276" s="2">
        <v>119.45</v>
      </c>
      <c r="D276" s="2" t="s">
        <v>607</v>
      </c>
      <c r="E276" s="2" t="s">
        <v>632</v>
      </c>
      <c r="F276" s="2" t="s">
        <v>633</v>
      </c>
      <c r="H276" s="2" t="s">
        <v>2951</v>
      </c>
      <c r="J276" s="7" t="str">
        <f t="shared" si="36"/>
        <v>San Nic I</v>
      </c>
      <c r="K276" s="7" t="str">
        <f t="shared" si="37"/>
        <v>l,CA</v>
      </c>
      <c r="L276" s="7" t="str">
        <f t="shared" si="40"/>
        <v>l,C</v>
      </c>
      <c r="M276" s="7" t="str">
        <f t="shared" si="41"/>
        <v>lC</v>
      </c>
      <c r="N276" s="9">
        <f t="shared" si="38"/>
        <v>33.25</v>
      </c>
      <c r="O276" s="9">
        <f t="shared" si="39"/>
        <v>119.45</v>
      </c>
    </row>
    <row r="277" spans="1:15" x14ac:dyDescent="0.2">
      <c r="A277" s="1" t="s">
        <v>634</v>
      </c>
      <c r="B277" s="2">
        <v>34.75</v>
      </c>
      <c r="C277" s="2">
        <v>118.73</v>
      </c>
      <c r="D277" s="2" t="s">
        <v>635</v>
      </c>
      <c r="H277" s="2" t="s">
        <v>2952</v>
      </c>
      <c r="J277" s="7" t="str">
        <f t="shared" si="36"/>
        <v>Sandburg</v>
      </c>
      <c r="K277" s="7" t="str">
        <f t="shared" si="37"/>
        <v xml:space="preserve">CA  </v>
      </c>
      <c r="L277" s="7" t="str">
        <f t="shared" si="40"/>
        <v xml:space="preserve">CA </v>
      </c>
      <c r="M277" s="7" t="str">
        <f t="shared" si="41"/>
        <v xml:space="preserve">CA </v>
      </c>
      <c r="N277" s="9">
        <f t="shared" si="38"/>
        <v>34.75</v>
      </c>
      <c r="O277" s="9">
        <f t="shared" si="39"/>
        <v>118.73</v>
      </c>
    </row>
    <row r="278" spans="1:15" x14ac:dyDescent="0.2">
      <c r="A278" s="1" t="s">
        <v>636</v>
      </c>
      <c r="B278" s="2">
        <v>33.67</v>
      </c>
      <c r="C278" s="2">
        <v>117.88</v>
      </c>
      <c r="D278" s="2" t="s">
        <v>637</v>
      </c>
      <c r="E278" s="2" t="s">
        <v>638</v>
      </c>
      <c r="H278" s="2" t="s">
        <v>2953</v>
      </c>
      <c r="J278" s="7" t="str">
        <f t="shared" ref="J278:J341" si="42">LEFT(H278,LEN(H278)-5)</f>
        <v>Santa An</v>
      </c>
      <c r="K278" s="7" t="str">
        <f t="shared" ref="K278:K341" si="43">RIGHT(H278,4)</f>
        <v xml:space="preserve">,CA </v>
      </c>
      <c r="L278" s="7" t="str">
        <f t="shared" si="40"/>
        <v>,CA</v>
      </c>
      <c r="M278" s="7" t="str">
        <f t="shared" si="41"/>
        <v>CA</v>
      </c>
      <c r="N278" s="9">
        <f t="shared" ref="N278:N298" si="44">B278</f>
        <v>33.67</v>
      </c>
      <c r="O278" s="9">
        <f t="shared" ref="O278:O298" si="45">C278</f>
        <v>117.88</v>
      </c>
    </row>
    <row r="279" spans="1:15" x14ac:dyDescent="0.2">
      <c r="A279" s="1" t="s">
        <v>639</v>
      </c>
      <c r="B279" s="2">
        <v>34.43</v>
      </c>
      <c r="C279" s="2">
        <v>119.83</v>
      </c>
      <c r="D279" s="2" t="s">
        <v>637</v>
      </c>
      <c r="E279" s="2" t="s">
        <v>640</v>
      </c>
      <c r="H279" s="2" t="s">
        <v>2954</v>
      </c>
      <c r="J279" s="7" t="str">
        <f t="shared" si="42"/>
        <v>Santa Bar</v>
      </c>
      <c r="K279" s="7" t="str">
        <f t="shared" si="43"/>
        <v xml:space="preserve">,CA </v>
      </c>
      <c r="L279" s="7" t="str">
        <f t="shared" si="40"/>
        <v>,CA</v>
      </c>
      <c r="M279" s="7" t="str">
        <f t="shared" si="41"/>
        <v>CA</v>
      </c>
      <c r="N279" s="9">
        <f t="shared" si="44"/>
        <v>34.43</v>
      </c>
      <c r="O279" s="9">
        <f t="shared" si="45"/>
        <v>119.83</v>
      </c>
    </row>
    <row r="280" spans="1:15" x14ac:dyDescent="0.2">
      <c r="A280" s="1" t="s">
        <v>641</v>
      </c>
      <c r="B280" s="2">
        <v>34.9</v>
      </c>
      <c r="C280" s="2">
        <v>120.45</v>
      </c>
      <c r="D280" s="2" t="s">
        <v>637</v>
      </c>
      <c r="E280" s="2" t="s">
        <v>642</v>
      </c>
      <c r="H280" s="2" t="s">
        <v>2955</v>
      </c>
      <c r="J280" s="7" t="str">
        <f t="shared" si="42"/>
        <v>Santa Mari</v>
      </c>
      <c r="K280" s="7" t="str">
        <f t="shared" si="43"/>
        <v xml:space="preserve">,CA </v>
      </c>
      <c r="L280" s="7" t="str">
        <f t="shared" si="40"/>
        <v>,CA</v>
      </c>
      <c r="M280" s="7" t="str">
        <f t="shared" si="41"/>
        <v>CA</v>
      </c>
      <c r="N280" s="9">
        <f t="shared" si="44"/>
        <v>34.9</v>
      </c>
      <c r="O280" s="9">
        <f t="shared" si="45"/>
        <v>120.45</v>
      </c>
    </row>
    <row r="281" spans="1:15" x14ac:dyDescent="0.2">
      <c r="A281" s="1" t="s">
        <v>643</v>
      </c>
      <c r="B281" s="2">
        <v>34.020000000000003</v>
      </c>
      <c r="C281" s="2">
        <v>118.45</v>
      </c>
      <c r="D281" s="2" t="s">
        <v>637</v>
      </c>
      <c r="E281" s="2" t="s">
        <v>644</v>
      </c>
      <c r="H281" s="2" t="s">
        <v>2956</v>
      </c>
      <c r="J281" s="7" t="str">
        <f t="shared" si="42"/>
        <v>Santa Monic</v>
      </c>
      <c r="K281" s="7" t="str">
        <f t="shared" si="43"/>
        <v xml:space="preserve">,CA </v>
      </c>
      <c r="L281" s="7" t="str">
        <f t="shared" si="40"/>
        <v>,CA</v>
      </c>
      <c r="M281" s="7" t="str">
        <f t="shared" si="41"/>
        <v>CA</v>
      </c>
      <c r="N281" s="9">
        <f t="shared" si="44"/>
        <v>34.020000000000003</v>
      </c>
      <c r="O281" s="9">
        <f t="shared" si="45"/>
        <v>118.45</v>
      </c>
    </row>
    <row r="282" spans="1:15" x14ac:dyDescent="0.2">
      <c r="A282" s="1" t="s">
        <v>645</v>
      </c>
      <c r="B282" s="2">
        <v>38.520000000000003</v>
      </c>
      <c r="C282" s="2">
        <v>122.82</v>
      </c>
      <c r="D282" s="2" t="s">
        <v>637</v>
      </c>
      <c r="E282" s="2" t="s">
        <v>646</v>
      </c>
      <c r="H282" s="2" t="s">
        <v>2957</v>
      </c>
      <c r="J282" s="7" t="str">
        <f t="shared" si="42"/>
        <v>Santa Ros</v>
      </c>
      <c r="K282" s="7" t="str">
        <f t="shared" si="43"/>
        <v xml:space="preserve">,CA </v>
      </c>
      <c r="L282" s="7" t="str">
        <f t="shared" si="40"/>
        <v>,CA</v>
      </c>
      <c r="M282" s="7" t="str">
        <f t="shared" si="41"/>
        <v>CA</v>
      </c>
      <c r="N282" s="9">
        <f t="shared" si="44"/>
        <v>38.520000000000003</v>
      </c>
      <c r="O282" s="9">
        <f t="shared" si="45"/>
        <v>122.82</v>
      </c>
    </row>
    <row r="283" spans="1:15" x14ac:dyDescent="0.2">
      <c r="A283" s="1" t="s">
        <v>647</v>
      </c>
      <c r="B283" s="2">
        <v>40.03</v>
      </c>
      <c r="C283" s="2">
        <v>124.07</v>
      </c>
      <c r="D283" s="2" t="s">
        <v>648</v>
      </c>
      <c r="E283" s="2" t="s">
        <v>649</v>
      </c>
      <c r="H283" s="2" t="s">
        <v>2958</v>
      </c>
      <c r="J283" s="7" t="str">
        <f t="shared" si="42"/>
        <v>Shelter Cov</v>
      </c>
      <c r="K283" s="7" t="str">
        <f t="shared" si="43"/>
        <v xml:space="preserve">,CA </v>
      </c>
      <c r="L283" s="7" t="str">
        <f t="shared" si="40"/>
        <v>,CA</v>
      </c>
      <c r="M283" s="7" t="str">
        <f t="shared" si="41"/>
        <v>CA</v>
      </c>
      <c r="N283" s="9">
        <f t="shared" si="44"/>
        <v>40.03</v>
      </c>
      <c r="O283" s="9">
        <f t="shared" si="45"/>
        <v>124.07</v>
      </c>
    </row>
    <row r="284" spans="1:15" x14ac:dyDescent="0.2">
      <c r="A284" s="1" t="s">
        <v>650</v>
      </c>
      <c r="B284" s="2">
        <v>41.78</v>
      </c>
      <c r="C284" s="2">
        <v>122.47</v>
      </c>
      <c r="D284" s="2" t="s">
        <v>651</v>
      </c>
      <c r="H284" s="2" t="s">
        <v>2959</v>
      </c>
      <c r="J284" s="7" t="str">
        <f t="shared" si="42"/>
        <v>Siskiyou</v>
      </c>
      <c r="K284" s="7" t="str">
        <f t="shared" si="43"/>
        <v xml:space="preserve">CA  </v>
      </c>
      <c r="L284" s="7" t="str">
        <f t="shared" si="40"/>
        <v xml:space="preserve">CA </v>
      </c>
      <c r="M284" s="7" t="str">
        <f t="shared" si="41"/>
        <v xml:space="preserve">CA </v>
      </c>
      <c r="N284" s="9">
        <f t="shared" si="44"/>
        <v>41.78</v>
      </c>
      <c r="O284" s="9">
        <f t="shared" si="45"/>
        <v>122.47</v>
      </c>
    </row>
    <row r="285" spans="1:15" x14ac:dyDescent="0.2">
      <c r="A285" s="1" t="s">
        <v>652</v>
      </c>
      <c r="B285" s="2">
        <v>37.9</v>
      </c>
      <c r="C285" s="2">
        <v>121.25</v>
      </c>
      <c r="D285" s="2" t="s">
        <v>653</v>
      </c>
      <c r="H285" s="2" t="s">
        <v>2960</v>
      </c>
      <c r="J285" s="7" t="str">
        <f t="shared" si="42"/>
        <v>Stockton</v>
      </c>
      <c r="K285" s="7" t="str">
        <f t="shared" si="43"/>
        <v xml:space="preserve">CA  </v>
      </c>
      <c r="L285" s="7" t="str">
        <f t="shared" si="40"/>
        <v xml:space="preserve">CA </v>
      </c>
      <c r="M285" s="7" t="str">
        <f t="shared" si="41"/>
        <v xml:space="preserve">CA </v>
      </c>
      <c r="N285" s="9">
        <f t="shared" si="44"/>
        <v>37.9</v>
      </c>
      <c r="O285" s="9">
        <f t="shared" si="45"/>
        <v>121.25</v>
      </c>
    </row>
    <row r="286" spans="1:15" x14ac:dyDescent="0.2">
      <c r="A286" s="1" t="s">
        <v>654</v>
      </c>
      <c r="B286" s="2">
        <v>35.33</v>
      </c>
      <c r="C286" s="2">
        <v>117.1</v>
      </c>
      <c r="D286" s="2" t="s">
        <v>655</v>
      </c>
      <c r="E286" s="2" t="s">
        <v>656</v>
      </c>
      <c r="H286" s="2" t="s">
        <v>2961</v>
      </c>
      <c r="J286" s="7" t="str">
        <f t="shared" si="42"/>
        <v>Superior Va</v>
      </c>
      <c r="K286" s="7" t="str">
        <f t="shared" si="43"/>
        <v xml:space="preserve">,CA </v>
      </c>
      <c r="L286" s="7" t="str">
        <f t="shared" si="40"/>
        <v>,CA</v>
      </c>
      <c r="M286" s="7" t="str">
        <f t="shared" si="41"/>
        <v>CA</v>
      </c>
      <c r="N286" s="9">
        <f t="shared" si="44"/>
        <v>35.33</v>
      </c>
      <c r="O286" s="9">
        <f t="shared" si="45"/>
        <v>117.1</v>
      </c>
    </row>
    <row r="287" spans="1:15" x14ac:dyDescent="0.2">
      <c r="A287" s="1" t="s">
        <v>657</v>
      </c>
      <c r="B287" s="2">
        <v>40.630000000000003</v>
      </c>
      <c r="C287" s="2">
        <v>120.95</v>
      </c>
      <c r="D287" s="2" t="s">
        <v>658</v>
      </c>
      <c r="H287" s="2" t="s">
        <v>2962</v>
      </c>
      <c r="J287" s="7" t="str">
        <f t="shared" si="42"/>
        <v>Susanville</v>
      </c>
      <c r="K287" s="7" t="str">
        <f t="shared" si="43"/>
        <v xml:space="preserve">CA  </v>
      </c>
      <c r="L287" s="7" t="str">
        <f t="shared" si="40"/>
        <v xml:space="preserve">CA </v>
      </c>
      <c r="M287" s="7" t="str">
        <f t="shared" si="41"/>
        <v xml:space="preserve">CA </v>
      </c>
      <c r="N287" s="9">
        <f t="shared" si="44"/>
        <v>40.630000000000003</v>
      </c>
      <c r="O287" s="9">
        <f t="shared" si="45"/>
        <v>120.95</v>
      </c>
    </row>
    <row r="288" spans="1:15" x14ac:dyDescent="0.2">
      <c r="A288" s="1" t="s">
        <v>659</v>
      </c>
      <c r="B288" s="2">
        <v>33.630000000000003</v>
      </c>
      <c r="C288" s="2">
        <v>116.17</v>
      </c>
      <c r="D288" s="2" t="s">
        <v>660</v>
      </c>
      <c r="H288" s="2" t="s">
        <v>2963</v>
      </c>
      <c r="J288" s="7" t="str">
        <f t="shared" si="42"/>
        <v>Thermal</v>
      </c>
      <c r="K288" s="7" t="str">
        <f t="shared" si="43"/>
        <v xml:space="preserve">CA  </v>
      </c>
      <c r="L288" s="7" t="str">
        <f t="shared" si="40"/>
        <v xml:space="preserve">CA </v>
      </c>
      <c r="M288" s="7" t="str">
        <f t="shared" si="41"/>
        <v xml:space="preserve">CA </v>
      </c>
      <c r="N288" s="9">
        <f t="shared" si="44"/>
        <v>33.630000000000003</v>
      </c>
      <c r="O288" s="9">
        <f t="shared" si="45"/>
        <v>116.17</v>
      </c>
    </row>
    <row r="289" spans="1:15" x14ac:dyDescent="0.2">
      <c r="A289" s="1" t="s">
        <v>661</v>
      </c>
      <c r="B289" s="2">
        <v>33.799999999999997</v>
      </c>
      <c r="C289" s="2">
        <v>118.33</v>
      </c>
      <c r="D289" s="2" t="s">
        <v>662</v>
      </c>
      <c r="H289" s="2" t="s">
        <v>2964</v>
      </c>
      <c r="J289" s="7" t="str">
        <f t="shared" si="42"/>
        <v>Torrance</v>
      </c>
      <c r="K289" s="7" t="str">
        <f t="shared" si="43"/>
        <v xml:space="preserve">CA  </v>
      </c>
      <c r="L289" s="7" t="str">
        <f t="shared" si="40"/>
        <v xml:space="preserve">CA </v>
      </c>
      <c r="M289" s="7" t="str">
        <f t="shared" si="41"/>
        <v xml:space="preserve">CA </v>
      </c>
      <c r="N289" s="9">
        <f t="shared" si="44"/>
        <v>33.799999999999997</v>
      </c>
      <c r="O289" s="9">
        <f t="shared" si="45"/>
        <v>118.33</v>
      </c>
    </row>
    <row r="290" spans="1:15" x14ac:dyDescent="0.2">
      <c r="A290" s="1" t="s">
        <v>663</v>
      </c>
      <c r="B290" s="2">
        <v>38.270000000000003</v>
      </c>
      <c r="C290" s="2">
        <v>121.93</v>
      </c>
      <c r="D290" s="2" t="s">
        <v>664</v>
      </c>
      <c r="E290" s="2" t="s">
        <v>436</v>
      </c>
      <c r="H290" s="2" t="s">
        <v>2965</v>
      </c>
      <c r="J290" s="7" t="str">
        <f t="shared" si="42"/>
        <v>Travis AF</v>
      </c>
      <c r="K290" s="7" t="str">
        <f t="shared" si="43"/>
        <v xml:space="preserve">,CA </v>
      </c>
      <c r="L290" s="7" t="str">
        <f t="shared" si="40"/>
        <v>,CA</v>
      </c>
      <c r="M290" s="7" t="str">
        <f t="shared" si="41"/>
        <v>CA</v>
      </c>
      <c r="N290" s="9">
        <f t="shared" si="44"/>
        <v>38.270000000000003</v>
      </c>
      <c r="O290" s="9">
        <f t="shared" si="45"/>
        <v>121.93</v>
      </c>
    </row>
    <row r="291" spans="1:15" x14ac:dyDescent="0.2">
      <c r="A291" s="1" t="s">
        <v>665</v>
      </c>
      <c r="B291" s="2">
        <v>39.32</v>
      </c>
      <c r="C291" s="2">
        <v>120.13</v>
      </c>
      <c r="D291" s="2" t="s">
        <v>666</v>
      </c>
      <c r="H291" s="2" t="s">
        <v>2966</v>
      </c>
      <c r="J291" s="7" t="str">
        <f t="shared" si="42"/>
        <v>Truckee-Tahoe</v>
      </c>
      <c r="K291" s="7" t="str">
        <f t="shared" si="43"/>
        <v xml:space="preserve">CA  </v>
      </c>
      <c r="L291" s="7" t="str">
        <f t="shared" si="40"/>
        <v xml:space="preserve">CA </v>
      </c>
      <c r="M291" s="7" t="str">
        <f t="shared" si="41"/>
        <v xml:space="preserve">CA </v>
      </c>
      <c r="N291" s="9">
        <f t="shared" si="44"/>
        <v>39.32</v>
      </c>
      <c r="O291" s="9">
        <f t="shared" si="45"/>
        <v>120.13</v>
      </c>
    </row>
    <row r="292" spans="1:15" x14ac:dyDescent="0.2">
      <c r="A292" s="1" t="s">
        <v>667</v>
      </c>
      <c r="B292" s="2">
        <v>33.700000000000003</v>
      </c>
      <c r="C292" s="2">
        <v>117.83</v>
      </c>
      <c r="D292" s="2" t="s">
        <v>668</v>
      </c>
      <c r="E292" s="2" t="s">
        <v>669</v>
      </c>
      <c r="H292" s="2" t="s">
        <v>2967</v>
      </c>
      <c r="J292" s="7" t="str">
        <f t="shared" si="42"/>
        <v>Tustin Mca</v>
      </c>
      <c r="K292" s="7" t="str">
        <f t="shared" si="43"/>
        <v xml:space="preserve">,CA </v>
      </c>
      <c r="L292" s="7" t="str">
        <f t="shared" si="40"/>
        <v>,CA</v>
      </c>
      <c r="M292" s="7" t="str">
        <f t="shared" si="41"/>
        <v>CA</v>
      </c>
      <c r="N292" s="9">
        <f t="shared" si="44"/>
        <v>33.700000000000003</v>
      </c>
      <c r="O292" s="9">
        <f t="shared" si="45"/>
        <v>117.83</v>
      </c>
    </row>
    <row r="293" spans="1:15" x14ac:dyDescent="0.2">
      <c r="A293" s="1" t="s">
        <v>670</v>
      </c>
      <c r="B293" s="2">
        <v>34.28</v>
      </c>
      <c r="C293" s="2">
        <v>116.15</v>
      </c>
      <c r="D293" s="2" t="s">
        <v>671</v>
      </c>
      <c r="E293" s="2" t="s">
        <v>672</v>
      </c>
      <c r="H293" s="2" t="s">
        <v>2968</v>
      </c>
      <c r="J293" s="7" t="str">
        <f t="shared" si="42"/>
        <v>Twenty9 Pal</v>
      </c>
      <c r="K293" s="7" t="str">
        <f t="shared" si="43"/>
        <v xml:space="preserve">,CA </v>
      </c>
      <c r="L293" s="7" t="str">
        <f t="shared" si="40"/>
        <v>,CA</v>
      </c>
      <c r="M293" s="7" t="str">
        <f t="shared" si="41"/>
        <v>CA</v>
      </c>
      <c r="N293" s="9">
        <f t="shared" si="44"/>
        <v>34.28</v>
      </c>
      <c r="O293" s="9">
        <f t="shared" si="45"/>
        <v>116.15</v>
      </c>
    </row>
    <row r="294" spans="1:15" x14ac:dyDescent="0.2">
      <c r="A294" s="1" t="s">
        <v>673</v>
      </c>
      <c r="B294" s="2">
        <v>39.130000000000003</v>
      </c>
      <c r="C294" s="2">
        <v>123.2</v>
      </c>
      <c r="D294" s="2" t="s">
        <v>674</v>
      </c>
      <c r="H294" s="2" t="s">
        <v>2969</v>
      </c>
      <c r="J294" s="7" t="str">
        <f t="shared" si="42"/>
        <v>Ukiah</v>
      </c>
      <c r="K294" s="7" t="str">
        <f t="shared" si="43"/>
        <v xml:space="preserve">CA  </v>
      </c>
      <c r="L294" s="7" t="str">
        <f t="shared" si="40"/>
        <v xml:space="preserve">CA </v>
      </c>
      <c r="M294" s="7" t="str">
        <f t="shared" si="41"/>
        <v xml:space="preserve">CA </v>
      </c>
      <c r="N294" s="9">
        <f t="shared" si="44"/>
        <v>39.130000000000003</v>
      </c>
      <c r="O294" s="9">
        <f t="shared" si="45"/>
        <v>123.2</v>
      </c>
    </row>
    <row r="295" spans="1:15" x14ac:dyDescent="0.2">
      <c r="A295" s="1" t="s">
        <v>675</v>
      </c>
      <c r="B295" s="2">
        <v>34.22</v>
      </c>
      <c r="C295" s="2">
        <v>118.48</v>
      </c>
      <c r="D295" s="2" t="s">
        <v>676</v>
      </c>
      <c r="E295" s="2" t="s">
        <v>677</v>
      </c>
      <c r="H295" s="2" t="s">
        <v>2970</v>
      </c>
      <c r="J295" s="7" t="str">
        <f t="shared" si="42"/>
        <v>Van Nuy</v>
      </c>
      <c r="K295" s="7" t="str">
        <f t="shared" si="43"/>
        <v xml:space="preserve">,CA </v>
      </c>
      <c r="L295" s="7" t="str">
        <f t="shared" si="40"/>
        <v>,CA</v>
      </c>
      <c r="M295" s="7" t="str">
        <f t="shared" si="41"/>
        <v>CA</v>
      </c>
      <c r="N295" s="9">
        <f t="shared" si="44"/>
        <v>34.22</v>
      </c>
      <c r="O295" s="9">
        <f t="shared" si="45"/>
        <v>118.48</v>
      </c>
    </row>
    <row r="296" spans="1:15" x14ac:dyDescent="0.2">
      <c r="A296" s="1" t="s">
        <v>678</v>
      </c>
      <c r="B296" s="2">
        <v>35.200000000000003</v>
      </c>
      <c r="C296" s="2">
        <v>120.95</v>
      </c>
      <c r="D296" s="2" t="s">
        <v>679</v>
      </c>
      <c r="H296" s="2" t="s">
        <v>2971</v>
      </c>
      <c r="J296" s="7" t="str">
        <f t="shared" si="42"/>
        <v>Vandenberg</v>
      </c>
      <c r="K296" s="7" t="str">
        <f t="shared" si="43"/>
        <v xml:space="preserve">CA  </v>
      </c>
      <c r="L296" s="7" t="str">
        <f t="shared" si="40"/>
        <v xml:space="preserve">CA </v>
      </c>
      <c r="M296" s="7" t="str">
        <f t="shared" si="41"/>
        <v xml:space="preserve">CA </v>
      </c>
      <c r="N296" s="9">
        <f t="shared" si="44"/>
        <v>35.200000000000003</v>
      </c>
      <c r="O296" s="9">
        <f t="shared" si="45"/>
        <v>120.95</v>
      </c>
    </row>
    <row r="297" spans="1:15" x14ac:dyDescent="0.2">
      <c r="A297" s="1" t="s">
        <v>678</v>
      </c>
      <c r="B297" s="2">
        <v>35.200000000000003</v>
      </c>
      <c r="C297" s="2">
        <v>120.95</v>
      </c>
      <c r="D297" s="2" t="s">
        <v>679</v>
      </c>
      <c r="H297" s="2" t="s">
        <v>2971</v>
      </c>
      <c r="J297" s="7" t="str">
        <f t="shared" si="42"/>
        <v>Vandenberg</v>
      </c>
      <c r="K297" s="7" t="str">
        <f t="shared" si="43"/>
        <v xml:space="preserve">CA  </v>
      </c>
      <c r="L297" s="7" t="str">
        <f t="shared" si="40"/>
        <v xml:space="preserve">CA </v>
      </c>
      <c r="M297" s="7" t="str">
        <f t="shared" si="41"/>
        <v xml:space="preserve">CA </v>
      </c>
      <c r="N297" s="9">
        <f t="shared" si="44"/>
        <v>35.200000000000003</v>
      </c>
      <c r="O297" s="9">
        <f t="shared" si="45"/>
        <v>120.95</v>
      </c>
    </row>
    <row r="298" spans="1:15" x14ac:dyDescent="0.2">
      <c r="A298" s="1" t="s">
        <v>680</v>
      </c>
      <c r="B298" s="2">
        <v>36.32</v>
      </c>
      <c r="C298" s="2">
        <v>119.4</v>
      </c>
      <c r="D298" s="2" t="s">
        <v>681</v>
      </c>
      <c r="H298" s="2" t="s">
        <v>2972</v>
      </c>
      <c r="J298" s="7" t="str">
        <f t="shared" si="42"/>
        <v>Visalia</v>
      </c>
      <c r="K298" s="7" t="str">
        <f t="shared" si="43"/>
        <v xml:space="preserve">CA  </v>
      </c>
      <c r="L298" s="7" t="str">
        <f t="shared" si="40"/>
        <v xml:space="preserve">CA </v>
      </c>
      <c r="M298" s="7" t="str">
        <f t="shared" si="41"/>
        <v xml:space="preserve">CA </v>
      </c>
      <c r="N298" s="9">
        <f t="shared" si="44"/>
        <v>36.32</v>
      </c>
      <c r="O298" s="9">
        <f t="shared" si="45"/>
        <v>119.4</v>
      </c>
    </row>
    <row r="299" spans="1:15" x14ac:dyDescent="0.2">
      <c r="A299" s="4"/>
      <c r="H299" s="2" t="s">
        <v>2726</v>
      </c>
      <c r="J299" s="7"/>
      <c r="K299" s="7"/>
      <c r="L299" s="7"/>
      <c r="M299" s="7"/>
      <c r="N299" s="9"/>
      <c r="O299" s="9"/>
    </row>
    <row r="300" spans="1:15" x14ac:dyDescent="0.2">
      <c r="A300" s="1" t="s">
        <v>5</v>
      </c>
      <c r="H300" s="2" t="s">
        <v>2726</v>
      </c>
      <c r="J300" s="7"/>
      <c r="K300" s="7"/>
      <c r="L300" s="7"/>
      <c r="M300" s="7"/>
      <c r="N300" s="9"/>
      <c r="O300" s="9"/>
    </row>
    <row r="301" spans="1:15" x14ac:dyDescent="0.2">
      <c r="A301" s="4"/>
      <c r="H301" s="2" t="s">
        <v>2726</v>
      </c>
      <c r="J301" s="7"/>
      <c r="K301" s="7"/>
      <c r="L301" s="7"/>
      <c r="M301" s="7"/>
      <c r="N301" s="9"/>
      <c r="O301" s="9"/>
    </row>
    <row r="302" spans="1:15" x14ac:dyDescent="0.2">
      <c r="A302" s="1" t="s">
        <v>682</v>
      </c>
      <c r="B302" s="2">
        <v>39.520000000000003</v>
      </c>
      <c r="C302" s="2">
        <v>105.35</v>
      </c>
      <c r="D302" s="2" t="s">
        <v>683</v>
      </c>
      <c r="E302" s="2" t="s">
        <v>684</v>
      </c>
      <c r="F302" s="2" t="s">
        <v>685</v>
      </c>
      <c r="H302" s="2" t="s">
        <v>2973</v>
      </c>
      <c r="J302" s="7" t="str">
        <f t="shared" si="42"/>
        <v>Air Force</v>
      </c>
      <c r="K302" s="7" t="str">
        <f t="shared" si="43"/>
        <v>A,CO</v>
      </c>
      <c r="L302" s="7" t="str">
        <f t="shared" ref="L302:L334" si="46">LEFT(K302,LEN(K302)-1)</f>
        <v>A,C</v>
      </c>
      <c r="M302" s="7" t="str">
        <f t="shared" ref="M302:M334" si="47">SUBSTITUTE(L302,",","")</f>
        <v>AC</v>
      </c>
      <c r="N302" s="9">
        <f t="shared" ref="N302:N334" si="48">B302</f>
        <v>39.520000000000003</v>
      </c>
      <c r="O302" s="9">
        <f t="shared" ref="O302:O334" si="49">C302</f>
        <v>105.35</v>
      </c>
    </row>
    <row r="303" spans="1:15" x14ac:dyDescent="0.2">
      <c r="A303" s="1" t="s">
        <v>686</v>
      </c>
      <c r="B303" s="2">
        <v>40.17</v>
      </c>
      <c r="C303" s="2">
        <v>103.22</v>
      </c>
      <c r="D303" s="2" t="s">
        <v>687</v>
      </c>
      <c r="H303" s="2" t="s">
        <v>2974</v>
      </c>
      <c r="J303" s="7" t="str">
        <f t="shared" si="42"/>
        <v>Akron</v>
      </c>
      <c r="K303" s="7" t="str">
        <f t="shared" si="43"/>
        <v xml:space="preserve">CO  </v>
      </c>
      <c r="L303" s="7" t="str">
        <f t="shared" si="46"/>
        <v xml:space="preserve">CO </v>
      </c>
      <c r="M303" s="7" t="str">
        <f t="shared" si="47"/>
        <v xml:space="preserve">CO </v>
      </c>
      <c r="N303" s="9">
        <f t="shared" si="48"/>
        <v>40.17</v>
      </c>
      <c r="O303" s="9">
        <f t="shared" si="49"/>
        <v>103.22</v>
      </c>
    </row>
    <row r="304" spans="1:15" x14ac:dyDescent="0.2">
      <c r="A304" s="1" t="s">
        <v>688</v>
      </c>
      <c r="B304" s="2">
        <v>37.450000000000003</v>
      </c>
      <c r="C304" s="2">
        <v>105.87</v>
      </c>
      <c r="D304" s="2" t="s">
        <v>689</v>
      </c>
      <c r="H304" s="2" t="s">
        <v>2975</v>
      </c>
      <c r="J304" s="7" t="str">
        <f t="shared" si="42"/>
        <v>Alamosa</v>
      </c>
      <c r="K304" s="7" t="str">
        <f t="shared" si="43"/>
        <v xml:space="preserve">CO  </v>
      </c>
      <c r="L304" s="7" t="str">
        <f t="shared" si="46"/>
        <v xml:space="preserve">CO </v>
      </c>
      <c r="M304" s="7" t="str">
        <f t="shared" si="47"/>
        <v xml:space="preserve">CO </v>
      </c>
      <c r="N304" s="9">
        <f t="shared" si="48"/>
        <v>37.450000000000003</v>
      </c>
      <c r="O304" s="9">
        <f t="shared" si="49"/>
        <v>105.87</v>
      </c>
    </row>
    <row r="305" spans="1:15" x14ac:dyDescent="0.2">
      <c r="A305" s="1" t="s">
        <v>690</v>
      </c>
      <c r="B305" s="2">
        <v>39.22</v>
      </c>
      <c r="C305" s="2">
        <v>106.87</v>
      </c>
      <c r="D305" s="2" t="s">
        <v>691</v>
      </c>
      <c r="H305" s="2" t="s">
        <v>2976</v>
      </c>
      <c r="J305" s="7" t="str">
        <f t="shared" si="42"/>
        <v>Aspen</v>
      </c>
      <c r="K305" s="7" t="str">
        <f t="shared" si="43"/>
        <v xml:space="preserve">CO  </v>
      </c>
      <c r="L305" s="7" t="str">
        <f t="shared" si="46"/>
        <v xml:space="preserve">CO </v>
      </c>
      <c r="M305" s="7" t="str">
        <f t="shared" si="47"/>
        <v xml:space="preserve">CO </v>
      </c>
      <c r="N305" s="9">
        <f t="shared" si="48"/>
        <v>39.22</v>
      </c>
      <c r="O305" s="9">
        <f t="shared" si="49"/>
        <v>106.87</v>
      </c>
    </row>
    <row r="306" spans="1:15" x14ac:dyDescent="0.2">
      <c r="A306" s="1" t="s">
        <v>692</v>
      </c>
      <c r="B306" s="2">
        <v>39.9</v>
      </c>
      <c r="C306" s="2">
        <v>105.12</v>
      </c>
      <c r="D306" s="2" t="s">
        <v>693</v>
      </c>
      <c r="H306" s="2" t="s">
        <v>2977</v>
      </c>
      <c r="J306" s="7" t="str">
        <f t="shared" si="42"/>
        <v>Brmfield/Jef</v>
      </c>
      <c r="K306" s="7" t="str">
        <f t="shared" si="43"/>
        <v xml:space="preserve">CO  </v>
      </c>
      <c r="L306" s="7" t="str">
        <f t="shared" si="46"/>
        <v xml:space="preserve">CO </v>
      </c>
      <c r="M306" s="7" t="str">
        <f t="shared" si="47"/>
        <v xml:space="preserve">CO </v>
      </c>
      <c r="N306" s="9">
        <f t="shared" si="48"/>
        <v>39.9</v>
      </c>
      <c r="O306" s="9">
        <f t="shared" si="49"/>
        <v>105.12</v>
      </c>
    </row>
    <row r="307" spans="1:15" x14ac:dyDescent="0.2">
      <c r="A307" s="1" t="s">
        <v>694</v>
      </c>
      <c r="B307" s="2">
        <v>39.72</v>
      </c>
      <c r="C307" s="2">
        <v>104.75</v>
      </c>
      <c r="D307" s="2" t="s">
        <v>695</v>
      </c>
      <c r="H307" s="2" t="s">
        <v>2978</v>
      </c>
      <c r="J307" s="7" t="str">
        <f t="shared" si="42"/>
        <v>Buckley</v>
      </c>
      <c r="K307" s="7" t="str">
        <f t="shared" si="43"/>
        <v xml:space="preserve">CO  </v>
      </c>
      <c r="L307" s="7" t="str">
        <f t="shared" si="46"/>
        <v xml:space="preserve">CO </v>
      </c>
      <c r="M307" s="7" t="str">
        <f t="shared" si="47"/>
        <v xml:space="preserve">CO </v>
      </c>
      <c r="N307" s="9">
        <f t="shared" si="48"/>
        <v>39.72</v>
      </c>
      <c r="O307" s="9">
        <f t="shared" si="49"/>
        <v>104.75</v>
      </c>
    </row>
    <row r="308" spans="1:15" x14ac:dyDescent="0.2">
      <c r="A308" s="1" t="s">
        <v>696</v>
      </c>
      <c r="B308" s="2">
        <v>38.82</v>
      </c>
      <c r="C308" s="2">
        <v>104.72</v>
      </c>
      <c r="D308" s="2" t="s">
        <v>697</v>
      </c>
      <c r="E308" s="2" t="s">
        <v>698</v>
      </c>
      <c r="H308" s="2" t="s">
        <v>2979</v>
      </c>
      <c r="J308" s="7" t="str">
        <f t="shared" si="42"/>
        <v>Colo Sprg</v>
      </c>
      <c r="K308" s="7" t="str">
        <f t="shared" si="43"/>
        <v xml:space="preserve">,CO </v>
      </c>
      <c r="L308" s="7" t="str">
        <f t="shared" si="46"/>
        <v>,CO</v>
      </c>
      <c r="M308" s="7" t="str">
        <f t="shared" si="47"/>
        <v>CO</v>
      </c>
      <c r="N308" s="9">
        <f t="shared" si="48"/>
        <v>38.82</v>
      </c>
      <c r="O308" s="9">
        <f t="shared" si="49"/>
        <v>104.72</v>
      </c>
    </row>
    <row r="309" spans="1:15" x14ac:dyDescent="0.2">
      <c r="A309" s="1" t="s">
        <v>699</v>
      </c>
      <c r="B309" s="2">
        <v>37.299999999999997</v>
      </c>
      <c r="C309" s="2">
        <v>108.63</v>
      </c>
      <c r="D309" s="2" t="s">
        <v>700</v>
      </c>
      <c r="H309" s="2" t="s">
        <v>2980</v>
      </c>
      <c r="J309" s="7" t="str">
        <f t="shared" si="42"/>
        <v>Cortez</v>
      </c>
      <c r="K309" s="7" t="str">
        <f t="shared" si="43"/>
        <v xml:space="preserve">CO  </v>
      </c>
      <c r="L309" s="7" t="str">
        <f t="shared" si="46"/>
        <v xml:space="preserve">CO </v>
      </c>
      <c r="M309" s="7" t="str">
        <f t="shared" si="47"/>
        <v xml:space="preserve">CO </v>
      </c>
      <c r="N309" s="9">
        <f t="shared" si="48"/>
        <v>37.299999999999997</v>
      </c>
      <c r="O309" s="9">
        <f t="shared" si="49"/>
        <v>108.63</v>
      </c>
    </row>
    <row r="310" spans="1:15" x14ac:dyDescent="0.2">
      <c r="A310" s="1" t="s">
        <v>701</v>
      </c>
      <c r="B310" s="2">
        <v>40.5</v>
      </c>
      <c r="C310" s="2">
        <v>107.53</v>
      </c>
      <c r="D310" s="2" t="s">
        <v>702</v>
      </c>
      <c r="H310" s="2" t="s">
        <v>2981</v>
      </c>
      <c r="J310" s="7" t="str">
        <f t="shared" si="42"/>
        <v>Craig-Moffat</v>
      </c>
      <c r="K310" s="7" t="str">
        <f t="shared" si="43"/>
        <v xml:space="preserve">CO  </v>
      </c>
      <c r="L310" s="7" t="str">
        <f t="shared" si="46"/>
        <v xml:space="preserve">CO </v>
      </c>
      <c r="M310" s="7" t="str">
        <f t="shared" si="47"/>
        <v xml:space="preserve">CO </v>
      </c>
      <c r="N310" s="9">
        <f t="shared" si="48"/>
        <v>40.5</v>
      </c>
      <c r="O310" s="9">
        <f t="shared" si="49"/>
        <v>107.53</v>
      </c>
    </row>
    <row r="311" spans="1:15" x14ac:dyDescent="0.2">
      <c r="A311" s="1" t="s">
        <v>703</v>
      </c>
      <c r="B311" s="2">
        <v>39.75</v>
      </c>
      <c r="C311" s="2">
        <v>104.87</v>
      </c>
      <c r="D311" s="2" t="s">
        <v>704</v>
      </c>
      <c r="H311" s="2" t="s">
        <v>2982</v>
      </c>
      <c r="J311" s="7" t="str">
        <f t="shared" si="42"/>
        <v>Denver</v>
      </c>
      <c r="K311" s="7" t="str">
        <f t="shared" si="43"/>
        <v xml:space="preserve">CO  </v>
      </c>
      <c r="L311" s="7" t="str">
        <f t="shared" si="46"/>
        <v xml:space="preserve">CO </v>
      </c>
      <c r="M311" s="7" t="str">
        <f t="shared" si="47"/>
        <v xml:space="preserve">CO </v>
      </c>
      <c r="N311" s="9">
        <f t="shared" si="48"/>
        <v>39.75</v>
      </c>
      <c r="O311" s="9">
        <f t="shared" si="49"/>
        <v>104.87</v>
      </c>
    </row>
    <row r="312" spans="1:15" x14ac:dyDescent="0.2">
      <c r="A312" s="1" t="s">
        <v>705</v>
      </c>
      <c r="B312" s="2">
        <v>37.15</v>
      </c>
      <c r="C312" s="2">
        <v>107.75</v>
      </c>
      <c r="D312" s="2" t="s">
        <v>706</v>
      </c>
      <c r="H312" s="2" t="s">
        <v>2983</v>
      </c>
      <c r="J312" s="7" t="str">
        <f t="shared" si="42"/>
        <v>Durango</v>
      </c>
      <c r="K312" s="7" t="str">
        <f t="shared" si="43"/>
        <v xml:space="preserve">CO  </v>
      </c>
      <c r="L312" s="7" t="str">
        <f t="shared" si="46"/>
        <v xml:space="preserve">CO </v>
      </c>
      <c r="M312" s="7" t="str">
        <f t="shared" si="47"/>
        <v xml:space="preserve">CO </v>
      </c>
      <c r="N312" s="9">
        <f t="shared" si="48"/>
        <v>37.15</v>
      </c>
      <c r="O312" s="9">
        <f t="shared" si="49"/>
        <v>107.75</v>
      </c>
    </row>
    <row r="313" spans="1:15" x14ac:dyDescent="0.2">
      <c r="A313" s="1" t="s">
        <v>707</v>
      </c>
      <c r="B313" s="2">
        <v>39.65</v>
      </c>
      <c r="C313" s="2">
        <v>106.92</v>
      </c>
      <c r="D313" s="2" t="s">
        <v>708</v>
      </c>
      <c r="H313" s="2" t="s">
        <v>2984</v>
      </c>
      <c r="J313" s="7" t="str">
        <f t="shared" si="42"/>
        <v>Eagle</v>
      </c>
      <c r="K313" s="7" t="str">
        <f t="shared" si="43"/>
        <v xml:space="preserve">CO  </v>
      </c>
      <c r="L313" s="7" t="str">
        <f t="shared" si="46"/>
        <v xml:space="preserve">CO </v>
      </c>
      <c r="M313" s="7" t="str">
        <f t="shared" si="47"/>
        <v xml:space="preserve">CO </v>
      </c>
      <c r="N313" s="9">
        <f t="shared" si="48"/>
        <v>39.65</v>
      </c>
      <c r="O313" s="9">
        <f t="shared" si="49"/>
        <v>106.92</v>
      </c>
    </row>
    <row r="314" spans="1:15" x14ac:dyDescent="0.2">
      <c r="A314" s="1" t="s">
        <v>709</v>
      </c>
      <c r="B314" s="2">
        <v>39.57</v>
      </c>
      <c r="C314" s="2">
        <v>104.83</v>
      </c>
      <c r="D314" s="2" t="s">
        <v>710</v>
      </c>
      <c r="H314" s="2" t="s">
        <v>2985</v>
      </c>
      <c r="J314" s="7" t="str">
        <f t="shared" si="42"/>
        <v>Englewood</v>
      </c>
      <c r="K314" s="7" t="str">
        <f t="shared" si="43"/>
        <v xml:space="preserve">CO  </v>
      </c>
      <c r="L314" s="7" t="str">
        <f t="shared" si="46"/>
        <v xml:space="preserve">CO </v>
      </c>
      <c r="M314" s="7" t="str">
        <f t="shared" si="47"/>
        <v xml:space="preserve">CO </v>
      </c>
      <c r="N314" s="9">
        <f t="shared" si="48"/>
        <v>39.57</v>
      </c>
      <c r="O314" s="9">
        <f t="shared" si="49"/>
        <v>104.83</v>
      </c>
    </row>
    <row r="315" spans="1:15" x14ac:dyDescent="0.2">
      <c r="A315" s="1" t="s">
        <v>711</v>
      </c>
      <c r="B315" s="2">
        <v>38.68</v>
      </c>
      <c r="C315" s="2">
        <v>104.77</v>
      </c>
      <c r="D315" s="2" t="s">
        <v>71</v>
      </c>
      <c r="E315" s="2" t="s">
        <v>712</v>
      </c>
      <c r="H315" s="2" t="s">
        <v>2986</v>
      </c>
      <c r="J315" s="7" t="str">
        <f t="shared" si="42"/>
        <v>Fort Carso</v>
      </c>
      <c r="K315" s="7" t="str">
        <f t="shared" si="43"/>
        <v xml:space="preserve">,CO </v>
      </c>
      <c r="L315" s="7" t="str">
        <f t="shared" si="46"/>
        <v>,CO</v>
      </c>
      <c r="M315" s="7" t="str">
        <f t="shared" si="47"/>
        <v>CO</v>
      </c>
      <c r="N315" s="9">
        <f t="shared" si="48"/>
        <v>38.68</v>
      </c>
      <c r="O315" s="9">
        <f t="shared" si="49"/>
        <v>104.77</v>
      </c>
    </row>
    <row r="316" spans="1:15" x14ac:dyDescent="0.2">
      <c r="A316" s="1" t="s">
        <v>713</v>
      </c>
      <c r="B316" s="2">
        <v>39.57</v>
      </c>
      <c r="C316" s="2">
        <v>105.5</v>
      </c>
      <c r="D316" s="2" t="s">
        <v>714</v>
      </c>
      <c r="H316" s="2" t="s">
        <v>2987</v>
      </c>
      <c r="J316" s="7" t="str">
        <f t="shared" si="42"/>
        <v>Fraser</v>
      </c>
      <c r="K316" s="7" t="str">
        <f t="shared" si="43"/>
        <v xml:space="preserve">CO  </v>
      </c>
      <c r="L316" s="7" t="str">
        <f t="shared" si="46"/>
        <v xml:space="preserve">CO </v>
      </c>
      <c r="M316" s="7" t="str">
        <f t="shared" si="47"/>
        <v xml:space="preserve">CO </v>
      </c>
      <c r="N316" s="9">
        <f t="shared" si="48"/>
        <v>39.57</v>
      </c>
      <c r="O316" s="9">
        <f t="shared" si="49"/>
        <v>105.5</v>
      </c>
    </row>
    <row r="317" spans="1:15" x14ac:dyDescent="0.2">
      <c r="A317" s="1" t="s">
        <v>715</v>
      </c>
      <c r="B317" s="2">
        <v>40.450000000000003</v>
      </c>
      <c r="C317" s="2">
        <v>105.02</v>
      </c>
      <c r="D317" s="2" t="s">
        <v>401</v>
      </c>
      <c r="E317" s="2" t="s">
        <v>716</v>
      </c>
      <c r="H317" s="2" t="s">
        <v>2988</v>
      </c>
      <c r="J317" s="7" t="str">
        <f t="shared" si="42"/>
        <v>Ft Col/Love</v>
      </c>
      <c r="K317" s="7" t="str">
        <f t="shared" si="43"/>
        <v xml:space="preserve">,CO </v>
      </c>
      <c r="L317" s="7" t="str">
        <f t="shared" si="46"/>
        <v>,CO</v>
      </c>
      <c r="M317" s="7" t="str">
        <f t="shared" si="47"/>
        <v>CO</v>
      </c>
      <c r="N317" s="9">
        <f t="shared" si="48"/>
        <v>40.450000000000003</v>
      </c>
      <c r="O317" s="9">
        <f t="shared" si="49"/>
        <v>105.02</v>
      </c>
    </row>
    <row r="318" spans="1:15" x14ac:dyDescent="0.2">
      <c r="A318" s="1" t="s">
        <v>717</v>
      </c>
      <c r="B318" s="2">
        <v>40.58</v>
      </c>
      <c r="C318" s="2">
        <v>105.08</v>
      </c>
      <c r="D318" s="2" t="s">
        <v>401</v>
      </c>
      <c r="E318" s="2" t="s">
        <v>718</v>
      </c>
      <c r="H318" s="2" t="s">
        <v>2989</v>
      </c>
      <c r="J318" s="7" t="str">
        <f t="shared" si="42"/>
        <v>Ft Collin</v>
      </c>
      <c r="K318" s="7" t="str">
        <f t="shared" si="43"/>
        <v xml:space="preserve">,CO </v>
      </c>
      <c r="L318" s="7" t="str">
        <f t="shared" si="46"/>
        <v>,CO</v>
      </c>
      <c r="M318" s="7" t="str">
        <f t="shared" si="47"/>
        <v>CO</v>
      </c>
      <c r="N318" s="9">
        <f t="shared" si="48"/>
        <v>40.58</v>
      </c>
      <c r="O318" s="9">
        <f t="shared" si="49"/>
        <v>105.08</v>
      </c>
    </row>
    <row r="319" spans="1:15" x14ac:dyDescent="0.2">
      <c r="A319" s="1" t="s">
        <v>719</v>
      </c>
      <c r="B319" s="2">
        <v>39.119999999999997</v>
      </c>
      <c r="C319" s="2">
        <v>108.53</v>
      </c>
      <c r="D319" s="2" t="s">
        <v>354</v>
      </c>
      <c r="E319" s="2" t="s">
        <v>720</v>
      </c>
      <c r="H319" s="2" t="s">
        <v>2990</v>
      </c>
      <c r="J319" s="7" t="str">
        <f t="shared" si="42"/>
        <v>Grand Jc</v>
      </c>
      <c r="K319" s="7" t="str">
        <f t="shared" si="43"/>
        <v xml:space="preserve">,CO </v>
      </c>
      <c r="L319" s="7" t="str">
        <f t="shared" si="46"/>
        <v>,CO</v>
      </c>
      <c r="M319" s="7" t="str">
        <f t="shared" si="47"/>
        <v>CO</v>
      </c>
      <c r="N319" s="9">
        <f t="shared" si="48"/>
        <v>39.119999999999997</v>
      </c>
      <c r="O319" s="9">
        <f t="shared" si="49"/>
        <v>108.53</v>
      </c>
    </row>
    <row r="320" spans="1:15" x14ac:dyDescent="0.2">
      <c r="A320" s="1" t="s">
        <v>721</v>
      </c>
      <c r="B320" s="2">
        <v>40.43</v>
      </c>
      <c r="C320" s="2">
        <v>104.63</v>
      </c>
      <c r="D320" s="2" t="s">
        <v>722</v>
      </c>
      <c r="H320" s="2" t="s">
        <v>2991</v>
      </c>
      <c r="J320" s="7" t="str">
        <f t="shared" si="42"/>
        <v>Greeley-Wld</v>
      </c>
      <c r="K320" s="7" t="str">
        <f t="shared" si="43"/>
        <v xml:space="preserve">CO  </v>
      </c>
      <c r="L320" s="7" t="str">
        <f t="shared" si="46"/>
        <v xml:space="preserve">CO </v>
      </c>
      <c r="M320" s="7" t="str">
        <f t="shared" si="47"/>
        <v xml:space="preserve">CO </v>
      </c>
      <c r="N320" s="9">
        <f t="shared" si="48"/>
        <v>40.43</v>
      </c>
      <c r="O320" s="9">
        <f t="shared" si="49"/>
        <v>104.63</v>
      </c>
    </row>
    <row r="321" spans="1:15" x14ac:dyDescent="0.2">
      <c r="A321" s="1" t="s">
        <v>723</v>
      </c>
      <c r="B321" s="2">
        <v>38.549999999999997</v>
      </c>
      <c r="C321" s="2">
        <v>106.93</v>
      </c>
      <c r="D321" s="2" t="s">
        <v>724</v>
      </c>
      <c r="H321" s="2" t="s">
        <v>2992</v>
      </c>
      <c r="J321" s="7" t="str">
        <f t="shared" si="42"/>
        <v>Gunnison</v>
      </c>
      <c r="K321" s="7" t="str">
        <f t="shared" si="43"/>
        <v xml:space="preserve">CO  </v>
      </c>
      <c r="L321" s="7" t="str">
        <f t="shared" si="46"/>
        <v xml:space="preserve">CO </v>
      </c>
      <c r="M321" s="7" t="str">
        <f t="shared" si="47"/>
        <v xml:space="preserve">CO </v>
      </c>
      <c r="N321" s="9">
        <f t="shared" si="48"/>
        <v>38.549999999999997</v>
      </c>
      <c r="O321" s="9">
        <f t="shared" si="49"/>
        <v>106.93</v>
      </c>
    </row>
    <row r="322" spans="1:15" x14ac:dyDescent="0.2">
      <c r="A322" s="1" t="s">
        <v>725</v>
      </c>
      <c r="B322" s="2">
        <v>38.549999999999997</v>
      </c>
      <c r="C322" s="2">
        <v>106.92</v>
      </c>
      <c r="D322" s="2" t="s">
        <v>724</v>
      </c>
      <c r="H322" s="2" t="s">
        <v>2992</v>
      </c>
      <c r="J322" s="7" t="str">
        <f t="shared" si="42"/>
        <v>Gunnison</v>
      </c>
      <c r="K322" s="7" t="str">
        <f t="shared" si="43"/>
        <v xml:space="preserve">CO  </v>
      </c>
      <c r="L322" s="7" t="str">
        <f t="shared" si="46"/>
        <v xml:space="preserve">CO </v>
      </c>
      <c r="M322" s="7" t="str">
        <f t="shared" si="47"/>
        <v xml:space="preserve">CO </v>
      </c>
      <c r="N322" s="9">
        <f t="shared" si="48"/>
        <v>38.549999999999997</v>
      </c>
      <c r="O322" s="9">
        <f t="shared" si="49"/>
        <v>106.92</v>
      </c>
    </row>
    <row r="323" spans="1:15" x14ac:dyDescent="0.2">
      <c r="A323" s="1" t="s">
        <v>726</v>
      </c>
      <c r="B323" s="2">
        <v>38.049999999999997</v>
      </c>
      <c r="C323" s="2">
        <v>103.52</v>
      </c>
      <c r="D323" s="2" t="s">
        <v>507</v>
      </c>
      <c r="E323" s="2" t="s">
        <v>727</v>
      </c>
      <c r="H323" s="2" t="s">
        <v>2993</v>
      </c>
      <c r="J323" s="7" t="str">
        <f t="shared" si="42"/>
        <v>La Junt</v>
      </c>
      <c r="K323" s="7" t="str">
        <f t="shared" si="43"/>
        <v xml:space="preserve">,CO </v>
      </c>
      <c r="L323" s="7" t="str">
        <f t="shared" si="46"/>
        <v>,CO</v>
      </c>
      <c r="M323" s="7" t="str">
        <f t="shared" si="47"/>
        <v>CO</v>
      </c>
      <c r="N323" s="9">
        <f t="shared" si="48"/>
        <v>38.049999999999997</v>
      </c>
      <c r="O323" s="9">
        <f t="shared" si="49"/>
        <v>103.52</v>
      </c>
    </row>
    <row r="324" spans="1:15" x14ac:dyDescent="0.2">
      <c r="A324" s="1" t="s">
        <v>728</v>
      </c>
      <c r="B324" s="2">
        <v>38.119999999999997</v>
      </c>
      <c r="C324" s="2">
        <v>102.6</v>
      </c>
      <c r="D324" s="2" t="s">
        <v>729</v>
      </c>
      <c r="H324" s="2" t="s">
        <v>2994</v>
      </c>
      <c r="J324" s="7" t="str">
        <f t="shared" si="42"/>
        <v>Lamar</v>
      </c>
      <c r="K324" s="7" t="str">
        <f t="shared" si="43"/>
        <v xml:space="preserve">CO  </v>
      </c>
      <c r="L324" s="7" t="str">
        <f t="shared" si="46"/>
        <v xml:space="preserve">CO </v>
      </c>
      <c r="M324" s="7" t="str">
        <f t="shared" si="47"/>
        <v xml:space="preserve">CO </v>
      </c>
      <c r="N324" s="9">
        <f t="shared" si="48"/>
        <v>38.119999999999997</v>
      </c>
      <c r="O324" s="9">
        <f t="shared" si="49"/>
        <v>102.6</v>
      </c>
    </row>
    <row r="325" spans="1:15" x14ac:dyDescent="0.2">
      <c r="A325" s="1" t="s">
        <v>730</v>
      </c>
      <c r="B325" s="2">
        <v>39.25</v>
      </c>
      <c r="C325" s="2">
        <v>106.3</v>
      </c>
      <c r="D325" s="2" t="s">
        <v>731</v>
      </c>
      <c r="H325" s="2" t="s">
        <v>2995</v>
      </c>
      <c r="J325" s="7" t="str">
        <f t="shared" si="42"/>
        <v>Leadville</v>
      </c>
      <c r="K325" s="7" t="str">
        <f t="shared" si="43"/>
        <v xml:space="preserve">CO  </v>
      </c>
      <c r="L325" s="7" t="str">
        <f t="shared" si="46"/>
        <v xml:space="preserve">CO </v>
      </c>
      <c r="M325" s="7" t="str">
        <f t="shared" si="47"/>
        <v xml:space="preserve">CO </v>
      </c>
      <c r="N325" s="9">
        <f t="shared" si="48"/>
        <v>39.25</v>
      </c>
      <c r="O325" s="9">
        <f t="shared" si="49"/>
        <v>106.3</v>
      </c>
    </row>
    <row r="326" spans="1:15" x14ac:dyDescent="0.2">
      <c r="A326" s="1" t="s">
        <v>732</v>
      </c>
      <c r="B326" s="2">
        <v>39.18</v>
      </c>
      <c r="C326" s="2">
        <v>103.7</v>
      </c>
      <c r="D326" s="2" t="s">
        <v>733</v>
      </c>
      <c r="H326" s="2" t="s">
        <v>2996</v>
      </c>
      <c r="J326" s="7" t="str">
        <f t="shared" si="42"/>
        <v>Limon</v>
      </c>
      <c r="K326" s="7" t="str">
        <f t="shared" si="43"/>
        <v xml:space="preserve">CO  </v>
      </c>
      <c r="L326" s="7" t="str">
        <f t="shared" si="46"/>
        <v xml:space="preserve">CO </v>
      </c>
      <c r="M326" s="7" t="str">
        <f t="shared" si="47"/>
        <v xml:space="preserve">CO </v>
      </c>
      <c r="N326" s="9">
        <f t="shared" si="48"/>
        <v>39.18</v>
      </c>
      <c r="O326" s="9">
        <f t="shared" si="49"/>
        <v>103.7</v>
      </c>
    </row>
    <row r="327" spans="1:15" x14ac:dyDescent="0.2">
      <c r="A327" s="1" t="s">
        <v>734</v>
      </c>
      <c r="B327" s="2">
        <v>38.5</v>
      </c>
      <c r="C327" s="2">
        <v>107.88</v>
      </c>
      <c r="D327" s="2" t="s">
        <v>735</v>
      </c>
      <c r="H327" s="2" t="s">
        <v>2997</v>
      </c>
      <c r="J327" s="7" t="str">
        <f t="shared" si="42"/>
        <v>Montrose</v>
      </c>
      <c r="K327" s="7" t="str">
        <f t="shared" si="43"/>
        <v xml:space="preserve">CO  </v>
      </c>
      <c r="L327" s="7" t="str">
        <f t="shared" si="46"/>
        <v xml:space="preserve">CO </v>
      </c>
      <c r="M327" s="7" t="str">
        <f t="shared" si="47"/>
        <v xml:space="preserve">CO </v>
      </c>
      <c r="N327" s="9">
        <f t="shared" si="48"/>
        <v>38.5</v>
      </c>
      <c r="O327" s="9">
        <f t="shared" si="49"/>
        <v>107.88</v>
      </c>
    </row>
    <row r="328" spans="1:15" x14ac:dyDescent="0.2">
      <c r="A328" s="1" t="s">
        <v>736</v>
      </c>
      <c r="B328" s="2">
        <v>38.5</v>
      </c>
      <c r="C328" s="2">
        <v>107.88</v>
      </c>
      <c r="D328" s="2" t="s">
        <v>735</v>
      </c>
      <c r="H328" s="2" t="s">
        <v>2997</v>
      </c>
      <c r="J328" s="7" t="str">
        <f t="shared" si="42"/>
        <v>Montrose</v>
      </c>
      <c r="K328" s="7" t="str">
        <f t="shared" si="43"/>
        <v xml:space="preserve">CO  </v>
      </c>
      <c r="L328" s="7" t="str">
        <f t="shared" si="46"/>
        <v xml:space="preserve">CO </v>
      </c>
      <c r="M328" s="7" t="str">
        <f t="shared" si="47"/>
        <v xml:space="preserve">CO </v>
      </c>
      <c r="N328" s="9">
        <f t="shared" si="48"/>
        <v>38.5</v>
      </c>
      <c r="O328" s="9">
        <f t="shared" si="49"/>
        <v>107.88</v>
      </c>
    </row>
    <row r="329" spans="1:15" x14ac:dyDescent="0.2">
      <c r="A329" s="1" t="s">
        <v>737</v>
      </c>
      <c r="B329" s="2">
        <v>38.28</v>
      </c>
      <c r="C329" s="2">
        <v>104.52</v>
      </c>
      <c r="D329" s="2" t="s">
        <v>738</v>
      </c>
      <c r="H329" s="2" t="s">
        <v>2998</v>
      </c>
      <c r="J329" s="7" t="str">
        <f t="shared" si="42"/>
        <v>Pueblo</v>
      </c>
      <c r="K329" s="7" t="str">
        <f t="shared" si="43"/>
        <v xml:space="preserve">CO  </v>
      </c>
      <c r="L329" s="7" t="str">
        <f t="shared" si="46"/>
        <v xml:space="preserve">CO </v>
      </c>
      <c r="M329" s="7" t="str">
        <f t="shared" si="47"/>
        <v xml:space="preserve">CO </v>
      </c>
      <c r="N329" s="9">
        <f t="shared" si="48"/>
        <v>38.28</v>
      </c>
      <c r="O329" s="9">
        <f t="shared" si="49"/>
        <v>104.52</v>
      </c>
    </row>
    <row r="330" spans="1:15" x14ac:dyDescent="0.2">
      <c r="A330" s="1" t="s">
        <v>739</v>
      </c>
      <c r="B330" s="2">
        <v>39.53</v>
      </c>
      <c r="C330" s="2">
        <v>107.8</v>
      </c>
      <c r="D330" s="2" t="s">
        <v>740</v>
      </c>
      <c r="H330" s="2" t="s">
        <v>2999</v>
      </c>
      <c r="J330" s="7" t="str">
        <f t="shared" si="42"/>
        <v>Rifle</v>
      </c>
      <c r="K330" s="7" t="str">
        <f t="shared" si="43"/>
        <v xml:space="preserve">CO  </v>
      </c>
      <c r="L330" s="7" t="str">
        <f t="shared" si="46"/>
        <v xml:space="preserve">CO </v>
      </c>
      <c r="M330" s="7" t="str">
        <f t="shared" si="47"/>
        <v xml:space="preserve">CO </v>
      </c>
      <c r="N330" s="9">
        <f t="shared" si="48"/>
        <v>39.53</v>
      </c>
      <c r="O330" s="9">
        <f t="shared" si="49"/>
        <v>107.8</v>
      </c>
    </row>
    <row r="331" spans="1:15" x14ac:dyDescent="0.2">
      <c r="A331" s="1" t="s">
        <v>741</v>
      </c>
      <c r="B331" s="2">
        <v>38.53</v>
      </c>
      <c r="C331" s="2">
        <v>106.05</v>
      </c>
      <c r="D331" s="2" t="s">
        <v>742</v>
      </c>
      <c r="H331" s="2" t="s">
        <v>3000</v>
      </c>
      <c r="J331" s="7" t="str">
        <f t="shared" si="42"/>
        <v>Salida</v>
      </c>
      <c r="K331" s="7" t="str">
        <f t="shared" si="43"/>
        <v xml:space="preserve">CO  </v>
      </c>
      <c r="L331" s="7" t="str">
        <f t="shared" si="46"/>
        <v xml:space="preserve">CO </v>
      </c>
      <c r="M331" s="7" t="str">
        <f t="shared" si="47"/>
        <v xml:space="preserve">CO </v>
      </c>
      <c r="N331" s="9">
        <f t="shared" si="48"/>
        <v>38.53</v>
      </c>
      <c r="O331" s="9">
        <f t="shared" si="49"/>
        <v>106.05</v>
      </c>
    </row>
    <row r="332" spans="1:15" x14ac:dyDescent="0.2">
      <c r="A332" s="1" t="s">
        <v>743</v>
      </c>
      <c r="B332" s="2">
        <v>40.479999999999997</v>
      </c>
      <c r="C332" s="2">
        <v>106.82</v>
      </c>
      <c r="D332" s="2" t="s">
        <v>744</v>
      </c>
      <c r="E332" s="2" t="s">
        <v>745</v>
      </c>
      <c r="H332" s="2" t="s">
        <v>3001</v>
      </c>
      <c r="J332" s="7" t="str">
        <f t="shared" si="42"/>
        <v>Steamboat S</v>
      </c>
      <c r="K332" s="7" t="str">
        <f t="shared" si="43"/>
        <v xml:space="preserve">,CO </v>
      </c>
      <c r="L332" s="7" t="str">
        <f t="shared" si="46"/>
        <v>,CO</v>
      </c>
      <c r="M332" s="7" t="str">
        <f t="shared" si="47"/>
        <v>CO</v>
      </c>
      <c r="N332" s="9">
        <f t="shared" si="48"/>
        <v>40.479999999999997</v>
      </c>
      <c r="O332" s="9">
        <f t="shared" si="49"/>
        <v>106.82</v>
      </c>
    </row>
    <row r="333" spans="1:15" x14ac:dyDescent="0.2">
      <c r="A333" s="1" t="s">
        <v>746</v>
      </c>
      <c r="B333" s="2">
        <v>37.25</v>
      </c>
      <c r="C333" s="2">
        <v>104.33</v>
      </c>
      <c r="D333" s="2" t="s">
        <v>747</v>
      </c>
      <c r="H333" s="2" t="s">
        <v>3002</v>
      </c>
      <c r="J333" s="7" t="str">
        <f t="shared" si="42"/>
        <v>Trinidad</v>
      </c>
      <c r="K333" s="7" t="str">
        <f t="shared" si="43"/>
        <v xml:space="preserve">CO  </v>
      </c>
      <c r="L333" s="7" t="str">
        <f t="shared" si="46"/>
        <v xml:space="preserve">CO </v>
      </c>
      <c r="M333" s="7" t="str">
        <f t="shared" si="47"/>
        <v xml:space="preserve">CO </v>
      </c>
      <c r="N333" s="9">
        <f t="shared" si="48"/>
        <v>37.25</v>
      </c>
      <c r="O333" s="9">
        <f t="shared" si="49"/>
        <v>104.33</v>
      </c>
    </row>
    <row r="334" spans="1:15" x14ac:dyDescent="0.2">
      <c r="A334" s="1" t="s">
        <v>748</v>
      </c>
      <c r="B334" s="2">
        <v>40</v>
      </c>
      <c r="C334" s="2">
        <v>105.87</v>
      </c>
      <c r="D334" s="2" t="s">
        <v>749</v>
      </c>
      <c r="E334" s="2" t="s">
        <v>750</v>
      </c>
      <c r="H334" s="2" t="s">
        <v>3003</v>
      </c>
      <c r="J334" s="7" t="str">
        <f t="shared" si="42"/>
        <v>Winter Par</v>
      </c>
      <c r="K334" s="7" t="str">
        <f t="shared" si="43"/>
        <v xml:space="preserve">,CO </v>
      </c>
      <c r="L334" s="7" t="str">
        <f t="shared" si="46"/>
        <v>,CO</v>
      </c>
      <c r="M334" s="7" t="str">
        <f t="shared" si="47"/>
        <v>CO</v>
      </c>
      <c r="N334" s="9">
        <f t="shared" si="48"/>
        <v>40</v>
      </c>
      <c r="O334" s="9">
        <f t="shared" si="49"/>
        <v>105.87</v>
      </c>
    </row>
    <row r="335" spans="1:15" x14ac:dyDescent="0.2">
      <c r="A335" s="4"/>
      <c r="H335" s="2" t="s">
        <v>2726</v>
      </c>
      <c r="J335" s="7"/>
      <c r="K335" s="7"/>
      <c r="L335" s="7"/>
      <c r="M335" s="7"/>
      <c r="N335" s="9"/>
      <c r="O335" s="9"/>
    </row>
    <row r="336" spans="1:15" x14ac:dyDescent="0.2">
      <c r="A336" s="1" t="s">
        <v>6</v>
      </c>
      <c r="H336" s="2" t="s">
        <v>2726</v>
      </c>
      <c r="J336" s="7"/>
      <c r="K336" s="7"/>
      <c r="L336" s="7"/>
      <c r="M336" s="7"/>
      <c r="N336" s="9"/>
      <c r="O336" s="9"/>
    </row>
    <row r="337" spans="1:15" x14ac:dyDescent="0.2">
      <c r="A337" s="4"/>
      <c r="H337" s="2" t="s">
        <v>2726</v>
      </c>
      <c r="J337" s="7"/>
      <c r="K337" s="7"/>
      <c r="L337" s="7"/>
      <c r="M337" s="7"/>
      <c r="N337" s="9"/>
      <c r="O337" s="9"/>
    </row>
    <row r="338" spans="1:15" x14ac:dyDescent="0.2">
      <c r="A338" s="1" t="s">
        <v>751</v>
      </c>
      <c r="B338" s="2">
        <v>41.17</v>
      </c>
      <c r="C338" s="2">
        <v>73.13</v>
      </c>
      <c r="D338" s="2" t="s">
        <v>752</v>
      </c>
      <c r="H338" s="2" t="s">
        <v>3004</v>
      </c>
      <c r="J338" s="7" t="str">
        <f t="shared" si="42"/>
        <v>Bridgeport</v>
      </c>
      <c r="K338" s="7" t="str">
        <f t="shared" si="43"/>
        <v xml:space="preserve">CT  </v>
      </c>
      <c r="L338" s="7" t="str">
        <f t="shared" ref="L338:L346" si="50">LEFT(K338,LEN(K338)-1)</f>
        <v xml:space="preserve">CT </v>
      </c>
      <c r="M338" s="7" t="str">
        <f t="shared" ref="M338:M346" si="51">SUBSTITUTE(L338,",","")</f>
        <v xml:space="preserve">CT </v>
      </c>
      <c r="N338" s="9">
        <f t="shared" ref="N338:N346" si="52">B338</f>
        <v>41.17</v>
      </c>
      <c r="O338" s="9">
        <f t="shared" ref="O338:O346" si="53">C338</f>
        <v>73.13</v>
      </c>
    </row>
    <row r="339" spans="1:15" x14ac:dyDescent="0.2">
      <c r="A339" s="1" t="s">
        <v>753</v>
      </c>
      <c r="B339" s="2">
        <v>41.37</v>
      </c>
      <c r="C339" s="2">
        <v>73.48</v>
      </c>
      <c r="D339" s="2" t="s">
        <v>754</v>
      </c>
      <c r="H339" s="2" t="s">
        <v>3005</v>
      </c>
      <c r="J339" s="7" t="str">
        <f t="shared" si="42"/>
        <v>Danbury</v>
      </c>
      <c r="K339" s="7" t="str">
        <f t="shared" si="43"/>
        <v xml:space="preserve">CT  </v>
      </c>
      <c r="L339" s="7" t="str">
        <f t="shared" si="50"/>
        <v xml:space="preserve">CT </v>
      </c>
      <c r="M339" s="7" t="str">
        <f t="shared" si="51"/>
        <v xml:space="preserve">CT </v>
      </c>
      <c r="N339" s="9">
        <f t="shared" si="52"/>
        <v>41.37</v>
      </c>
      <c r="O339" s="9">
        <f t="shared" si="53"/>
        <v>73.48</v>
      </c>
    </row>
    <row r="340" spans="1:15" x14ac:dyDescent="0.2">
      <c r="A340" s="1" t="s">
        <v>755</v>
      </c>
      <c r="B340" s="2">
        <v>41.33</v>
      </c>
      <c r="C340" s="2">
        <v>72.05</v>
      </c>
      <c r="D340" s="2" t="s">
        <v>756</v>
      </c>
      <c r="H340" s="2" t="s">
        <v>3006</v>
      </c>
      <c r="J340" s="7" t="str">
        <f t="shared" si="42"/>
        <v>Groton</v>
      </c>
      <c r="K340" s="7" t="str">
        <f t="shared" si="43"/>
        <v xml:space="preserve">CT  </v>
      </c>
      <c r="L340" s="7" t="str">
        <f t="shared" si="50"/>
        <v xml:space="preserve">CT </v>
      </c>
      <c r="M340" s="7" t="str">
        <f t="shared" si="51"/>
        <v xml:space="preserve">CT </v>
      </c>
      <c r="N340" s="9">
        <f t="shared" si="52"/>
        <v>41.33</v>
      </c>
      <c r="O340" s="9">
        <f t="shared" si="53"/>
        <v>72.05</v>
      </c>
    </row>
    <row r="341" spans="1:15" x14ac:dyDescent="0.2">
      <c r="A341" s="1" t="s">
        <v>757</v>
      </c>
      <c r="B341" s="2">
        <v>41.73</v>
      </c>
      <c r="C341" s="2">
        <v>72.650000000000006</v>
      </c>
      <c r="D341" s="2" t="s">
        <v>758</v>
      </c>
      <c r="H341" s="2" t="s">
        <v>3007</v>
      </c>
      <c r="J341" s="7" t="str">
        <f t="shared" si="42"/>
        <v>Hartford</v>
      </c>
      <c r="K341" s="7" t="str">
        <f t="shared" si="43"/>
        <v xml:space="preserve">CT  </v>
      </c>
      <c r="L341" s="7" t="str">
        <f t="shared" si="50"/>
        <v xml:space="preserve">CT </v>
      </c>
      <c r="M341" s="7" t="str">
        <f t="shared" si="51"/>
        <v xml:space="preserve">CT </v>
      </c>
      <c r="N341" s="9">
        <f t="shared" si="52"/>
        <v>41.73</v>
      </c>
      <c r="O341" s="9">
        <f t="shared" si="53"/>
        <v>72.650000000000006</v>
      </c>
    </row>
    <row r="342" spans="1:15" x14ac:dyDescent="0.2">
      <c r="A342" s="1" t="s">
        <v>759</v>
      </c>
      <c r="B342" s="2">
        <v>41.22</v>
      </c>
      <c r="C342" s="2">
        <v>72.67</v>
      </c>
      <c r="D342" s="2" t="s">
        <v>44</v>
      </c>
      <c r="E342" s="2" t="s">
        <v>760</v>
      </c>
      <c r="H342" s="2" t="s">
        <v>3008</v>
      </c>
      <c r="J342" s="7" t="str">
        <f t="shared" ref="J342:J405" si="54">LEFT(H342,LEN(H342)-5)</f>
        <v>New Have</v>
      </c>
      <c r="K342" s="7" t="str">
        <f t="shared" ref="K342:K405" si="55">RIGHT(H342,4)</f>
        <v xml:space="preserve">,CT </v>
      </c>
      <c r="L342" s="7" t="str">
        <f t="shared" si="50"/>
        <v>,CT</v>
      </c>
      <c r="M342" s="7" t="str">
        <f t="shared" si="51"/>
        <v>CT</v>
      </c>
      <c r="N342" s="9">
        <f t="shared" si="52"/>
        <v>41.22</v>
      </c>
      <c r="O342" s="9">
        <f t="shared" si="53"/>
        <v>72.67</v>
      </c>
    </row>
    <row r="343" spans="1:15" x14ac:dyDescent="0.2">
      <c r="A343" s="1" t="s">
        <v>761</v>
      </c>
      <c r="B343" s="2">
        <v>41.27</v>
      </c>
      <c r="C343" s="2">
        <v>72.88</v>
      </c>
      <c r="D343" s="2" t="s">
        <v>44</v>
      </c>
      <c r="E343" s="2" t="s">
        <v>760</v>
      </c>
      <c r="H343" s="2" t="s">
        <v>3008</v>
      </c>
      <c r="J343" s="7" t="str">
        <f t="shared" si="54"/>
        <v>New Have</v>
      </c>
      <c r="K343" s="7" t="str">
        <f t="shared" si="55"/>
        <v xml:space="preserve">,CT </v>
      </c>
      <c r="L343" s="7" t="str">
        <f t="shared" si="50"/>
        <v>,CT</v>
      </c>
      <c r="M343" s="7" t="str">
        <f t="shared" si="51"/>
        <v>CT</v>
      </c>
      <c r="N343" s="9">
        <f t="shared" si="52"/>
        <v>41.27</v>
      </c>
      <c r="O343" s="9">
        <f t="shared" si="53"/>
        <v>72.88</v>
      </c>
    </row>
    <row r="344" spans="1:15" x14ac:dyDescent="0.2">
      <c r="A344" s="1" t="s">
        <v>762</v>
      </c>
      <c r="B344" s="2">
        <v>41.27</v>
      </c>
      <c r="C344" s="2">
        <v>72.900000000000006</v>
      </c>
      <c r="D344" s="2" t="s">
        <v>44</v>
      </c>
      <c r="E344" s="2" t="s">
        <v>760</v>
      </c>
      <c r="H344" s="2" t="s">
        <v>3008</v>
      </c>
      <c r="J344" s="7" t="str">
        <f t="shared" si="54"/>
        <v>New Have</v>
      </c>
      <c r="K344" s="7" t="str">
        <f t="shared" si="55"/>
        <v xml:space="preserve">,CT </v>
      </c>
      <c r="L344" s="7" t="str">
        <f t="shared" si="50"/>
        <v>,CT</v>
      </c>
      <c r="M344" s="7" t="str">
        <f t="shared" si="51"/>
        <v>CT</v>
      </c>
      <c r="N344" s="9">
        <f t="shared" si="52"/>
        <v>41.27</v>
      </c>
      <c r="O344" s="9">
        <f t="shared" si="53"/>
        <v>72.900000000000006</v>
      </c>
    </row>
    <row r="345" spans="1:15" x14ac:dyDescent="0.2">
      <c r="A345" s="1" t="s">
        <v>763</v>
      </c>
      <c r="B345" s="2">
        <v>41.3</v>
      </c>
      <c r="C345" s="2">
        <v>72.08</v>
      </c>
      <c r="D345" s="2" t="s">
        <v>44</v>
      </c>
      <c r="E345" s="2" t="s">
        <v>764</v>
      </c>
      <c r="H345" s="2" t="s">
        <v>3009</v>
      </c>
      <c r="J345" s="7" t="str">
        <f t="shared" si="54"/>
        <v>New Londo</v>
      </c>
      <c r="K345" s="7" t="str">
        <f t="shared" si="55"/>
        <v xml:space="preserve">,CT </v>
      </c>
      <c r="L345" s="7" t="str">
        <f t="shared" si="50"/>
        <v>,CT</v>
      </c>
      <c r="M345" s="7" t="str">
        <f t="shared" si="51"/>
        <v>CT</v>
      </c>
      <c r="N345" s="9">
        <f t="shared" si="52"/>
        <v>41.3</v>
      </c>
      <c r="O345" s="9">
        <f t="shared" si="53"/>
        <v>72.08</v>
      </c>
    </row>
    <row r="346" spans="1:15" x14ac:dyDescent="0.2">
      <c r="A346" s="1" t="s">
        <v>765</v>
      </c>
      <c r="B346" s="2">
        <v>41.93</v>
      </c>
      <c r="C346" s="2">
        <v>72.680000000000007</v>
      </c>
      <c r="D346" s="2" t="s">
        <v>766</v>
      </c>
      <c r="E346" s="2" t="s">
        <v>767</v>
      </c>
      <c r="H346" s="2" t="s">
        <v>3010</v>
      </c>
      <c r="J346" s="7" t="str">
        <f t="shared" si="54"/>
        <v>Windsor Lo</v>
      </c>
      <c r="K346" s="7" t="str">
        <f t="shared" si="55"/>
        <v xml:space="preserve">,CT </v>
      </c>
      <c r="L346" s="7" t="str">
        <f t="shared" si="50"/>
        <v>,CT</v>
      </c>
      <c r="M346" s="7" t="str">
        <f t="shared" si="51"/>
        <v>CT</v>
      </c>
      <c r="N346" s="9">
        <f t="shared" si="52"/>
        <v>41.93</v>
      </c>
      <c r="O346" s="9">
        <f t="shared" si="53"/>
        <v>72.680000000000007</v>
      </c>
    </row>
    <row r="347" spans="1:15" x14ac:dyDescent="0.2">
      <c r="A347" s="4"/>
      <c r="H347" s="2" t="s">
        <v>2726</v>
      </c>
      <c r="J347" s="7"/>
      <c r="K347" s="7"/>
      <c r="L347" s="7"/>
      <c r="M347" s="7"/>
      <c r="N347" s="9"/>
      <c r="O347" s="9"/>
    </row>
    <row r="348" spans="1:15" x14ac:dyDescent="0.2">
      <c r="A348" s="1" t="s">
        <v>7</v>
      </c>
      <c r="H348" s="2" t="s">
        <v>2726</v>
      </c>
      <c r="J348" s="7"/>
      <c r="K348" s="7"/>
      <c r="L348" s="7"/>
      <c r="M348" s="7"/>
      <c r="N348" s="9"/>
      <c r="O348" s="9"/>
    </row>
    <row r="349" spans="1:15" x14ac:dyDescent="0.2">
      <c r="A349" s="4"/>
      <c r="H349" s="2" t="s">
        <v>2726</v>
      </c>
      <c r="J349" s="7"/>
      <c r="K349" s="7"/>
      <c r="L349" s="7"/>
      <c r="M349" s="7"/>
      <c r="N349" s="9"/>
      <c r="O349" s="9"/>
    </row>
    <row r="350" spans="1:15" x14ac:dyDescent="0.2">
      <c r="A350" s="1" t="s">
        <v>768</v>
      </c>
      <c r="B350" s="2">
        <v>39.130000000000003</v>
      </c>
      <c r="C350" s="2">
        <v>75.47</v>
      </c>
      <c r="D350" s="2" t="s">
        <v>769</v>
      </c>
      <c r="H350" s="2" t="s">
        <v>3011</v>
      </c>
      <c r="J350" s="7" t="str">
        <f t="shared" si="54"/>
        <v>Dover</v>
      </c>
      <c r="K350" s="7" t="str">
        <f t="shared" si="55"/>
        <v xml:space="preserve">DE  </v>
      </c>
      <c r="L350" s="7" t="str">
        <f t="shared" ref="L350:L351" si="56">LEFT(K350,LEN(K350)-1)</f>
        <v xml:space="preserve">DE </v>
      </c>
      <c r="M350" s="7" t="str">
        <f t="shared" ref="M350:M351" si="57">SUBSTITUTE(L350,",","")</f>
        <v xml:space="preserve">DE </v>
      </c>
      <c r="N350" s="9">
        <f>B350</f>
        <v>39.130000000000003</v>
      </c>
      <c r="O350" s="9">
        <f>C350</f>
        <v>75.47</v>
      </c>
    </row>
    <row r="351" spans="1:15" x14ac:dyDescent="0.2">
      <c r="A351" s="1" t="s">
        <v>770</v>
      </c>
      <c r="B351" s="2">
        <v>39.67</v>
      </c>
      <c r="C351" s="2">
        <v>75.599999999999994</v>
      </c>
      <c r="D351" s="2" t="s">
        <v>771</v>
      </c>
      <c r="H351" s="2" t="s">
        <v>3012</v>
      </c>
      <c r="J351" s="7" t="str">
        <f t="shared" si="54"/>
        <v>Wilmington</v>
      </c>
      <c r="K351" s="7" t="str">
        <f t="shared" si="55"/>
        <v xml:space="preserve">DE  </v>
      </c>
      <c r="L351" s="7" t="str">
        <f t="shared" si="56"/>
        <v xml:space="preserve">DE </v>
      </c>
      <c r="M351" s="7" t="str">
        <f t="shared" si="57"/>
        <v xml:space="preserve">DE </v>
      </c>
      <c r="N351" s="9">
        <f>B351</f>
        <v>39.67</v>
      </c>
      <c r="O351" s="9">
        <f>C351</f>
        <v>75.599999999999994</v>
      </c>
    </row>
    <row r="352" spans="1:15" x14ac:dyDescent="0.2">
      <c r="A352" s="4"/>
      <c r="H352" s="2" t="s">
        <v>2726</v>
      </c>
      <c r="J352" s="7"/>
      <c r="K352" s="7"/>
      <c r="L352" s="7"/>
      <c r="M352" s="7"/>
      <c r="N352" s="9"/>
      <c r="O352" s="9"/>
    </row>
    <row r="353" spans="1:15" x14ac:dyDescent="0.2">
      <c r="A353" s="1" t="s">
        <v>42</v>
      </c>
      <c r="B353" s="2" t="s">
        <v>41</v>
      </c>
      <c r="C353" s="2" t="s">
        <v>43</v>
      </c>
      <c r="H353" s="2" t="s">
        <v>2726</v>
      </c>
      <c r="J353" s="7"/>
      <c r="K353" s="7"/>
      <c r="L353" s="7"/>
      <c r="M353" s="7"/>
      <c r="N353" s="9"/>
      <c r="O353" s="9"/>
    </row>
    <row r="354" spans="1:15" x14ac:dyDescent="0.2">
      <c r="A354" s="4"/>
      <c r="H354" s="2" t="s">
        <v>2726</v>
      </c>
      <c r="J354" s="7"/>
      <c r="K354" s="7"/>
      <c r="L354" s="7"/>
      <c r="M354" s="7"/>
      <c r="N354" s="9"/>
      <c r="O354" s="9"/>
    </row>
    <row r="355" spans="1:15" x14ac:dyDescent="0.2">
      <c r="A355" s="4"/>
      <c r="H355" s="2" t="s">
        <v>2726</v>
      </c>
      <c r="J355" s="7"/>
      <c r="K355" s="7"/>
      <c r="L355" s="7"/>
      <c r="M355" s="7"/>
      <c r="N355" s="9"/>
      <c r="O355" s="9"/>
    </row>
    <row r="356" spans="1:15" x14ac:dyDescent="0.2">
      <c r="A356" s="1" t="s">
        <v>772</v>
      </c>
      <c r="B356" s="2">
        <v>38.950000000000003</v>
      </c>
      <c r="C356" s="2">
        <v>77.459999999999994</v>
      </c>
      <c r="D356" s="2" t="s">
        <v>773</v>
      </c>
      <c r="H356" s="2" t="s">
        <v>3013</v>
      </c>
      <c r="J356" s="7" t="str">
        <f t="shared" si="54"/>
        <v>Washington/Dulles</v>
      </c>
      <c r="K356" s="7" t="str">
        <f t="shared" si="55"/>
        <v xml:space="preserve">DC  </v>
      </c>
      <c r="L356" s="7" t="str">
        <f t="shared" ref="L356:L357" si="58">LEFT(K356,LEN(K356)-1)</f>
        <v xml:space="preserve">DC </v>
      </c>
      <c r="M356" s="7" t="str">
        <f t="shared" ref="M356:M357" si="59">SUBSTITUTE(L356,",","")</f>
        <v xml:space="preserve">DC </v>
      </c>
      <c r="N356" s="9">
        <f>B356</f>
        <v>38.950000000000003</v>
      </c>
      <c r="O356" s="9">
        <f>C356</f>
        <v>77.459999999999994</v>
      </c>
    </row>
    <row r="357" spans="1:15" x14ac:dyDescent="0.2">
      <c r="A357" s="1" t="s">
        <v>774</v>
      </c>
      <c r="B357" s="2">
        <v>38.85</v>
      </c>
      <c r="C357" s="2">
        <v>77.040000000000006</v>
      </c>
      <c r="D357" s="2" t="s">
        <v>775</v>
      </c>
      <c r="H357" s="2" t="s">
        <v>3863</v>
      </c>
      <c r="J357" s="7" t="str">
        <f t="shared" si="54"/>
        <v>Washington</v>
      </c>
      <c r="K357" s="7" t="str">
        <f t="shared" si="55"/>
        <v xml:space="preserve">DC  </v>
      </c>
      <c r="L357" s="7" t="str">
        <f t="shared" si="58"/>
        <v xml:space="preserve">DC </v>
      </c>
      <c r="M357" s="7" t="str">
        <f t="shared" si="59"/>
        <v xml:space="preserve">DC </v>
      </c>
      <c r="N357" s="9">
        <f>B357</f>
        <v>38.85</v>
      </c>
      <c r="O357" s="9">
        <f>C357</f>
        <v>77.040000000000006</v>
      </c>
    </row>
    <row r="358" spans="1:15" x14ac:dyDescent="0.2">
      <c r="A358" s="4"/>
      <c r="H358" s="2" t="s">
        <v>2726</v>
      </c>
      <c r="J358" s="7"/>
      <c r="K358" s="7"/>
      <c r="L358" s="7"/>
      <c r="M358" s="7"/>
      <c r="N358" s="9"/>
      <c r="O358" s="9"/>
    </row>
    <row r="359" spans="1:15" x14ac:dyDescent="0.2">
      <c r="A359" s="1" t="s">
        <v>8</v>
      </c>
      <c r="H359" s="2" t="s">
        <v>2726</v>
      </c>
      <c r="J359" s="7"/>
      <c r="K359" s="7"/>
      <c r="L359" s="7"/>
      <c r="M359" s="7"/>
      <c r="N359" s="9"/>
      <c r="O359" s="9"/>
    </row>
    <row r="360" spans="1:15" x14ac:dyDescent="0.2">
      <c r="A360" s="4"/>
      <c r="H360" s="2" t="s">
        <v>2726</v>
      </c>
      <c r="J360" s="7"/>
      <c r="K360" s="7"/>
      <c r="L360" s="7"/>
      <c r="M360" s="7"/>
      <c r="N360" s="9"/>
      <c r="O360" s="9"/>
    </row>
    <row r="361" spans="1:15" x14ac:dyDescent="0.2">
      <c r="A361" s="1" t="s">
        <v>776</v>
      </c>
      <c r="B361" s="2">
        <v>29.73</v>
      </c>
      <c r="C361" s="2">
        <v>85.03</v>
      </c>
      <c r="D361" s="2" t="s">
        <v>777</v>
      </c>
      <c r="H361" s="2" t="s">
        <v>3014</v>
      </c>
      <c r="J361" s="7" t="str">
        <f t="shared" si="54"/>
        <v>Apalachicola</v>
      </c>
      <c r="K361" s="7" t="str">
        <f t="shared" si="55"/>
        <v xml:space="preserve">FL  </v>
      </c>
      <c r="L361" s="7" t="str">
        <f t="shared" ref="L361:L410" si="60">LEFT(K361,LEN(K361)-1)</f>
        <v xml:space="preserve">FL </v>
      </c>
      <c r="M361" s="7" t="str">
        <f t="shared" ref="M361:M410" si="61">SUBSTITUTE(L361,",","")</f>
        <v xml:space="preserve">FL </v>
      </c>
      <c r="N361" s="9">
        <f t="shared" ref="N361:N392" si="62">B361</f>
        <v>29.73</v>
      </c>
      <c r="O361" s="9">
        <f t="shared" ref="O361:O392" si="63">C361</f>
        <v>85.03</v>
      </c>
    </row>
    <row r="362" spans="1:15" x14ac:dyDescent="0.2">
      <c r="A362" s="1" t="s">
        <v>778</v>
      </c>
      <c r="B362" s="2">
        <v>29.12</v>
      </c>
      <c r="C362" s="2">
        <v>81.569999999999993</v>
      </c>
      <c r="D362" s="2" t="s">
        <v>779</v>
      </c>
      <c r="E362" s="2" t="s">
        <v>780</v>
      </c>
      <c r="H362" s="2" t="s">
        <v>3015</v>
      </c>
      <c r="J362" s="7" t="str">
        <f t="shared" si="54"/>
        <v>Astor NA</v>
      </c>
      <c r="K362" s="7" t="str">
        <f t="shared" si="55"/>
        <v xml:space="preserve">,FL </v>
      </c>
      <c r="L362" s="7" t="str">
        <f t="shared" si="60"/>
        <v>,FL</v>
      </c>
      <c r="M362" s="7" t="str">
        <f t="shared" si="61"/>
        <v>FL</v>
      </c>
      <c r="N362" s="9">
        <f t="shared" si="62"/>
        <v>29.12</v>
      </c>
      <c r="O362" s="9">
        <f t="shared" si="63"/>
        <v>81.569999999999993</v>
      </c>
    </row>
    <row r="363" spans="1:15" x14ac:dyDescent="0.2">
      <c r="A363" s="1" t="s">
        <v>781</v>
      </c>
      <c r="B363" s="2">
        <v>28.08</v>
      </c>
      <c r="C363" s="2">
        <v>81.55</v>
      </c>
      <c r="D363" s="2" t="s">
        <v>782</v>
      </c>
      <c r="E363" s="2" t="s">
        <v>783</v>
      </c>
      <c r="F363" s="2" t="s">
        <v>784</v>
      </c>
      <c r="H363" s="2" t="s">
        <v>3016</v>
      </c>
      <c r="J363" s="7" t="str">
        <f t="shared" si="54"/>
        <v>Avon Park</v>
      </c>
      <c r="K363" s="7" t="str">
        <f t="shared" si="55"/>
        <v>G,FL</v>
      </c>
      <c r="L363" s="7" t="str">
        <f t="shared" si="60"/>
        <v>G,F</v>
      </c>
      <c r="M363" s="7" t="str">
        <f t="shared" si="61"/>
        <v>GF</v>
      </c>
      <c r="N363" s="9">
        <f t="shared" si="62"/>
        <v>28.08</v>
      </c>
      <c r="O363" s="9">
        <f t="shared" si="63"/>
        <v>81.55</v>
      </c>
    </row>
    <row r="364" spans="1:15" x14ac:dyDescent="0.2">
      <c r="A364" s="1" t="s">
        <v>785</v>
      </c>
      <c r="B364" s="2">
        <v>28.47</v>
      </c>
      <c r="C364" s="2">
        <v>80.55</v>
      </c>
      <c r="D364" s="2" t="s">
        <v>131</v>
      </c>
      <c r="E364" s="2" t="s">
        <v>786</v>
      </c>
      <c r="H364" s="2" t="s">
        <v>3017</v>
      </c>
      <c r="J364" s="7" t="str">
        <f t="shared" si="54"/>
        <v>Cape Canavera</v>
      </c>
      <c r="K364" s="7" t="str">
        <f t="shared" si="55"/>
        <v xml:space="preserve">,FL </v>
      </c>
      <c r="L364" s="7" t="str">
        <f t="shared" si="60"/>
        <v>,FL</v>
      </c>
      <c r="M364" s="7" t="str">
        <f t="shared" si="61"/>
        <v>FL</v>
      </c>
      <c r="N364" s="9">
        <f t="shared" si="62"/>
        <v>28.47</v>
      </c>
      <c r="O364" s="9">
        <f t="shared" si="63"/>
        <v>80.55</v>
      </c>
    </row>
    <row r="365" spans="1:15" x14ac:dyDescent="0.2">
      <c r="A365" s="1" t="s">
        <v>787</v>
      </c>
      <c r="B365" s="2">
        <v>30.22</v>
      </c>
      <c r="C365" s="2">
        <v>81.88</v>
      </c>
      <c r="D365" s="2" t="s">
        <v>788</v>
      </c>
      <c r="H365" s="2" t="s">
        <v>3018</v>
      </c>
      <c r="J365" s="7" t="str">
        <f t="shared" si="54"/>
        <v>Cecil</v>
      </c>
      <c r="K365" s="7" t="str">
        <f t="shared" si="55"/>
        <v xml:space="preserve">FL  </v>
      </c>
      <c r="L365" s="7" t="str">
        <f t="shared" si="60"/>
        <v xml:space="preserve">FL </v>
      </c>
      <c r="M365" s="7" t="str">
        <f t="shared" si="61"/>
        <v xml:space="preserve">FL </v>
      </c>
      <c r="N365" s="9">
        <f t="shared" si="62"/>
        <v>30.22</v>
      </c>
      <c r="O365" s="9">
        <f t="shared" si="63"/>
        <v>81.88</v>
      </c>
    </row>
    <row r="366" spans="1:15" x14ac:dyDescent="0.2">
      <c r="A366" s="1" t="s">
        <v>789</v>
      </c>
      <c r="B366" s="2">
        <v>30.78</v>
      </c>
      <c r="C366" s="2">
        <v>86.52</v>
      </c>
      <c r="D366" s="2" t="s">
        <v>790</v>
      </c>
      <c r="H366" s="2" t="s">
        <v>3019</v>
      </c>
      <c r="J366" s="7" t="str">
        <f t="shared" si="54"/>
        <v>Crestview</v>
      </c>
      <c r="K366" s="7" t="str">
        <f t="shared" si="55"/>
        <v xml:space="preserve">FL  </v>
      </c>
      <c r="L366" s="7" t="str">
        <f t="shared" si="60"/>
        <v xml:space="preserve">FL </v>
      </c>
      <c r="M366" s="7" t="str">
        <f t="shared" si="61"/>
        <v xml:space="preserve">FL </v>
      </c>
      <c r="N366" s="9">
        <f t="shared" si="62"/>
        <v>30.78</v>
      </c>
      <c r="O366" s="9">
        <f t="shared" si="63"/>
        <v>86.52</v>
      </c>
    </row>
    <row r="367" spans="1:15" x14ac:dyDescent="0.2">
      <c r="A367" s="1" t="s">
        <v>791</v>
      </c>
      <c r="B367" s="2">
        <v>29.62</v>
      </c>
      <c r="C367" s="2">
        <v>83.1</v>
      </c>
      <c r="D367" s="2" t="s">
        <v>792</v>
      </c>
      <c r="E367" s="2" t="s">
        <v>793</v>
      </c>
      <c r="H367" s="2" t="s">
        <v>3020</v>
      </c>
      <c r="J367" s="7" t="str">
        <f t="shared" si="54"/>
        <v>Cross Cit</v>
      </c>
      <c r="K367" s="7" t="str">
        <f t="shared" si="55"/>
        <v xml:space="preserve">,FL </v>
      </c>
      <c r="L367" s="7" t="str">
        <f t="shared" si="60"/>
        <v>,FL</v>
      </c>
      <c r="M367" s="7" t="str">
        <f t="shared" si="61"/>
        <v>FL</v>
      </c>
      <c r="N367" s="9">
        <f t="shared" si="62"/>
        <v>29.62</v>
      </c>
      <c r="O367" s="9">
        <f t="shared" si="63"/>
        <v>83.1</v>
      </c>
    </row>
    <row r="368" spans="1:15" x14ac:dyDescent="0.2">
      <c r="A368" s="1" t="s">
        <v>794</v>
      </c>
      <c r="B368" s="2">
        <v>29.18</v>
      </c>
      <c r="C368" s="2">
        <v>81.05</v>
      </c>
      <c r="D368" s="2" t="s">
        <v>795</v>
      </c>
      <c r="E368" s="2" t="s">
        <v>796</v>
      </c>
      <c r="H368" s="2" t="s">
        <v>3021</v>
      </c>
      <c r="J368" s="7" t="str">
        <f t="shared" si="54"/>
        <v>Daytona Bc</v>
      </c>
      <c r="K368" s="7" t="str">
        <f t="shared" si="55"/>
        <v xml:space="preserve">,FL </v>
      </c>
      <c r="L368" s="7" t="str">
        <f t="shared" si="60"/>
        <v>,FL</v>
      </c>
      <c r="M368" s="7" t="str">
        <f t="shared" si="61"/>
        <v>FL</v>
      </c>
      <c r="N368" s="9">
        <f t="shared" si="62"/>
        <v>29.18</v>
      </c>
      <c r="O368" s="9">
        <f t="shared" si="63"/>
        <v>81.05</v>
      </c>
    </row>
    <row r="369" spans="1:15" x14ac:dyDescent="0.2">
      <c r="A369" s="1" t="s">
        <v>797</v>
      </c>
      <c r="B369" s="2">
        <v>30.65</v>
      </c>
      <c r="C369" s="2">
        <v>86.52</v>
      </c>
      <c r="D369" s="2" t="s">
        <v>798</v>
      </c>
      <c r="E369" s="2" t="s">
        <v>799</v>
      </c>
      <c r="H369" s="2" t="s">
        <v>3022</v>
      </c>
      <c r="J369" s="7" t="str">
        <f t="shared" si="54"/>
        <v>Duke Fl</v>
      </c>
      <c r="K369" s="7" t="str">
        <f t="shared" si="55"/>
        <v xml:space="preserve">,FL </v>
      </c>
      <c r="L369" s="7" t="str">
        <f t="shared" si="60"/>
        <v>,FL</v>
      </c>
      <c r="M369" s="7" t="str">
        <f t="shared" si="61"/>
        <v>FL</v>
      </c>
      <c r="N369" s="9">
        <f t="shared" si="62"/>
        <v>30.65</v>
      </c>
      <c r="O369" s="9">
        <f t="shared" si="63"/>
        <v>86.52</v>
      </c>
    </row>
    <row r="370" spans="1:15" x14ac:dyDescent="0.2">
      <c r="A370" s="1" t="s">
        <v>800</v>
      </c>
      <c r="B370" s="2">
        <v>30.48</v>
      </c>
      <c r="C370" s="2">
        <v>86.53</v>
      </c>
      <c r="D370" s="2" t="s">
        <v>801</v>
      </c>
      <c r="E370" s="2" t="s">
        <v>802</v>
      </c>
      <c r="H370" s="2" t="s">
        <v>3023</v>
      </c>
      <c r="J370" s="7" t="str">
        <f t="shared" si="54"/>
        <v>Eglin AF</v>
      </c>
      <c r="K370" s="7" t="str">
        <f t="shared" si="55"/>
        <v xml:space="preserve">,FL </v>
      </c>
      <c r="L370" s="7" t="str">
        <f t="shared" si="60"/>
        <v>,FL</v>
      </c>
      <c r="M370" s="7" t="str">
        <f t="shared" si="61"/>
        <v>FL</v>
      </c>
      <c r="N370" s="9">
        <f t="shared" si="62"/>
        <v>30.48</v>
      </c>
      <c r="O370" s="9">
        <f t="shared" si="63"/>
        <v>86.53</v>
      </c>
    </row>
    <row r="371" spans="1:15" x14ac:dyDescent="0.2">
      <c r="A371" s="1" t="s">
        <v>803</v>
      </c>
      <c r="B371" s="2">
        <v>27.6</v>
      </c>
      <c r="C371" s="2">
        <v>82.77</v>
      </c>
      <c r="D371" s="2" t="s">
        <v>804</v>
      </c>
      <c r="E371" s="2" t="s">
        <v>805</v>
      </c>
      <c r="H371" s="2" t="s">
        <v>3024</v>
      </c>
      <c r="J371" s="7" t="str">
        <f t="shared" si="54"/>
        <v>Egmont Ke</v>
      </c>
      <c r="K371" s="7" t="str">
        <f t="shared" si="55"/>
        <v xml:space="preserve">,FL </v>
      </c>
      <c r="L371" s="7" t="str">
        <f t="shared" si="60"/>
        <v>,FL</v>
      </c>
      <c r="M371" s="7" t="str">
        <f t="shared" si="61"/>
        <v>FL</v>
      </c>
      <c r="N371" s="9">
        <f t="shared" si="62"/>
        <v>27.6</v>
      </c>
      <c r="O371" s="9">
        <f t="shared" si="63"/>
        <v>82.77</v>
      </c>
    </row>
    <row r="372" spans="1:15" x14ac:dyDescent="0.2">
      <c r="A372" s="1" t="s">
        <v>806</v>
      </c>
      <c r="B372" s="2">
        <v>26.13</v>
      </c>
      <c r="C372" s="2">
        <v>80.13</v>
      </c>
      <c r="D372" s="2" t="s">
        <v>71</v>
      </c>
      <c r="E372" s="2" t="s">
        <v>807</v>
      </c>
      <c r="H372" s="2" t="s">
        <v>3025</v>
      </c>
      <c r="J372" s="7" t="str">
        <f t="shared" si="54"/>
        <v>Fort Lauder</v>
      </c>
      <c r="K372" s="7" t="str">
        <f t="shared" si="55"/>
        <v xml:space="preserve">,FL </v>
      </c>
      <c r="L372" s="7" t="str">
        <f t="shared" si="60"/>
        <v>,FL</v>
      </c>
      <c r="M372" s="7" t="str">
        <f t="shared" si="61"/>
        <v>FL</v>
      </c>
      <c r="N372" s="9">
        <f t="shared" si="62"/>
        <v>26.13</v>
      </c>
      <c r="O372" s="9">
        <f t="shared" si="63"/>
        <v>80.13</v>
      </c>
    </row>
    <row r="373" spans="1:15" x14ac:dyDescent="0.2">
      <c r="A373" s="1" t="s">
        <v>808</v>
      </c>
      <c r="B373" s="2">
        <v>26.58</v>
      </c>
      <c r="C373" s="2">
        <v>81.87</v>
      </c>
      <c r="D373" s="2" t="s">
        <v>71</v>
      </c>
      <c r="E373" s="2" t="s">
        <v>809</v>
      </c>
      <c r="H373" s="2" t="s">
        <v>3026</v>
      </c>
      <c r="J373" s="7" t="str">
        <f t="shared" si="54"/>
        <v>Fort Myer</v>
      </c>
      <c r="K373" s="7" t="str">
        <f t="shared" si="55"/>
        <v xml:space="preserve">,FL </v>
      </c>
      <c r="L373" s="7" t="str">
        <f t="shared" si="60"/>
        <v>,FL</v>
      </c>
      <c r="M373" s="7" t="str">
        <f t="shared" si="61"/>
        <v>FL</v>
      </c>
      <c r="N373" s="9">
        <f t="shared" si="62"/>
        <v>26.58</v>
      </c>
      <c r="O373" s="9">
        <f t="shared" si="63"/>
        <v>81.87</v>
      </c>
    </row>
    <row r="374" spans="1:15" x14ac:dyDescent="0.2">
      <c r="A374" s="1" t="s">
        <v>810</v>
      </c>
      <c r="B374" s="2">
        <v>26.07</v>
      </c>
      <c r="C374" s="2">
        <v>80.150000000000006</v>
      </c>
      <c r="D374" s="2" t="s">
        <v>401</v>
      </c>
      <c r="E374" s="2" t="s">
        <v>811</v>
      </c>
      <c r="H374" s="2" t="s">
        <v>3864</v>
      </c>
      <c r="J374" s="7" t="str">
        <f t="shared" si="54"/>
        <v>Ft Lauderdale</v>
      </c>
      <c r="K374" s="7" t="str">
        <f t="shared" si="55"/>
        <v xml:space="preserve">FL  </v>
      </c>
      <c r="L374" s="7" t="str">
        <f t="shared" si="60"/>
        <v xml:space="preserve">FL </v>
      </c>
      <c r="M374" s="7" t="str">
        <f t="shared" si="61"/>
        <v xml:space="preserve">FL </v>
      </c>
      <c r="N374" s="9">
        <f t="shared" si="62"/>
        <v>26.07</v>
      </c>
      <c r="O374" s="9">
        <f t="shared" si="63"/>
        <v>80.150000000000006</v>
      </c>
    </row>
    <row r="375" spans="1:15" x14ac:dyDescent="0.2">
      <c r="A375" s="1" t="s">
        <v>812</v>
      </c>
      <c r="B375" s="2">
        <v>26.65</v>
      </c>
      <c r="C375" s="2">
        <v>81.87</v>
      </c>
      <c r="D375" s="2" t="s">
        <v>401</v>
      </c>
      <c r="E375" s="2" t="s">
        <v>809</v>
      </c>
      <c r="H375" s="2" t="s">
        <v>3027</v>
      </c>
      <c r="J375" s="7" t="str">
        <f t="shared" si="54"/>
        <v>Ft Myer</v>
      </c>
      <c r="K375" s="7" t="str">
        <f t="shared" si="55"/>
        <v xml:space="preserve">,FL </v>
      </c>
      <c r="L375" s="7" t="str">
        <f t="shared" si="60"/>
        <v>,FL</v>
      </c>
      <c r="M375" s="7" t="str">
        <f t="shared" si="61"/>
        <v>FL</v>
      </c>
      <c r="N375" s="9">
        <f t="shared" si="62"/>
        <v>26.65</v>
      </c>
      <c r="O375" s="9">
        <f t="shared" si="63"/>
        <v>81.87</v>
      </c>
    </row>
    <row r="376" spans="1:15" x14ac:dyDescent="0.2">
      <c r="A376" s="1" t="s">
        <v>813</v>
      </c>
      <c r="B376" s="2">
        <v>29.68</v>
      </c>
      <c r="C376" s="2">
        <v>82.27</v>
      </c>
      <c r="D376" s="2" t="s">
        <v>814</v>
      </c>
      <c r="H376" s="2" t="s">
        <v>3028</v>
      </c>
      <c r="J376" s="7" t="str">
        <f t="shared" si="54"/>
        <v>Gainesville</v>
      </c>
      <c r="K376" s="7" t="str">
        <f t="shared" si="55"/>
        <v xml:space="preserve">FL  </v>
      </c>
      <c r="L376" s="7" t="str">
        <f t="shared" si="60"/>
        <v xml:space="preserve">FL </v>
      </c>
      <c r="M376" s="7" t="str">
        <f t="shared" si="61"/>
        <v xml:space="preserve">FL </v>
      </c>
      <c r="N376" s="9">
        <f t="shared" si="62"/>
        <v>29.68</v>
      </c>
      <c r="O376" s="9">
        <f t="shared" si="63"/>
        <v>82.27</v>
      </c>
    </row>
    <row r="377" spans="1:15" x14ac:dyDescent="0.2">
      <c r="A377" s="1" t="s">
        <v>815</v>
      </c>
      <c r="B377" s="2">
        <v>25.48</v>
      </c>
      <c r="C377" s="2">
        <v>80.38</v>
      </c>
      <c r="D377" s="2" t="s">
        <v>816</v>
      </c>
      <c r="H377" s="2" t="s">
        <v>3029</v>
      </c>
      <c r="J377" s="7" t="str">
        <f t="shared" si="54"/>
        <v>Homestead</v>
      </c>
      <c r="K377" s="7" t="str">
        <f t="shared" si="55"/>
        <v xml:space="preserve">FL  </v>
      </c>
      <c r="L377" s="7" t="str">
        <f t="shared" si="60"/>
        <v xml:space="preserve">FL </v>
      </c>
      <c r="M377" s="7" t="str">
        <f t="shared" si="61"/>
        <v xml:space="preserve">FL </v>
      </c>
      <c r="N377" s="9">
        <f t="shared" si="62"/>
        <v>25.48</v>
      </c>
      <c r="O377" s="9">
        <f t="shared" si="63"/>
        <v>80.38</v>
      </c>
    </row>
    <row r="378" spans="1:15" x14ac:dyDescent="0.2">
      <c r="A378" s="1" t="s">
        <v>817</v>
      </c>
      <c r="B378" s="2">
        <v>30.43</v>
      </c>
      <c r="C378" s="2">
        <v>86.68</v>
      </c>
      <c r="D378" s="2" t="s">
        <v>818</v>
      </c>
      <c r="E378" s="2" t="s">
        <v>799</v>
      </c>
      <c r="H378" s="2" t="s">
        <v>3030</v>
      </c>
      <c r="J378" s="7" t="str">
        <f t="shared" si="54"/>
        <v>Hurlburt Fl</v>
      </c>
      <c r="K378" s="7" t="str">
        <f t="shared" si="55"/>
        <v xml:space="preserve">,FL </v>
      </c>
      <c r="L378" s="7" t="str">
        <f t="shared" si="60"/>
        <v>,FL</v>
      </c>
      <c r="M378" s="7" t="str">
        <f t="shared" si="61"/>
        <v>FL</v>
      </c>
      <c r="N378" s="9">
        <f t="shared" si="62"/>
        <v>30.43</v>
      </c>
      <c r="O378" s="9">
        <f t="shared" si="63"/>
        <v>86.68</v>
      </c>
    </row>
    <row r="379" spans="1:15" x14ac:dyDescent="0.2">
      <c r="A379" s="1" t="s">
        <v>819</v>
      </c>
      <c r="B379" s="2">
        <v>30.33</v>
      </c>
      <c r="C379" s="2">
        <v>81.52</v>
      </c>
      <c r="D379" s="2" t="s">
        <v>820</v>
      </c>
      <c r="H379" s="2" t="s">
        <v>3031</v>
      </c>
      <c r="J379" s="7" t="str">
        <f t="shared" si="54"/>
        <v>Jacksonville</v>
      </c>
      <c r="K379" s="7" t="str">
        <f t="shared" si="55"/>
        <v xml:space="preserve">FL  </v>
      </c>
      <c r="L379" s="7" t="str">
        <f t="shared" si="60"/>
        <v xml:space="preserve">FL </v>
      </c>
      <c r="M379" s="7" t="str">
        <f t="shared" si="61"/>
        <v xml:space="preserve">FL </v>
      </c>
      <c r="N379" s="9">
        <f t="shared" si="62"/>
        <v>30.33</v>
      </c>
      <c r="O379" s="9">
        <f t="shared" si="63"/>
        <v>81.52</v>
      </c>
    </row>
    <row r="380" spans="1:15" x14ac:dyDescent="0.2">
      <c r="A380" s="1" t="s">
        <v>821</v>
      </c>
      <c r="B380" s="2">
        <v>30.5</v>
      </c>
      <c r="C380" s="2">
        <v>81.7</v>
      </c>
      <c r="D380" s="2" t="s">
        <v>820</v>
      </c>
      <c r="H380" s="2" t="s">
        <v>3031</v>
      </c>
      <c r="J380" s="7" t="str">
        <f t="shared" si="54"/>
        <v>Jacksonville</v>
      </c>
      <c r="K380" s="7" t="str">
        <f t="shared" si="55"/>
        <v xml:space="preserve">FL  </v>
      </c>
      <c r="L380" s="7" t="str">
        <f t="shared" si="60"/>
        <v xml:space="preserve">FL </v>
      </c>
      <c r="M380" s="7" t="str">
        <f t="shared" si="61"/>
        <v xml:space="preserve">FL </v>
      </c>
      <c r="N380" s="9">
        <f t="shared" si="62"/>
        <v>30.5</v>
      </c>
      <c r="O380" s="9">
        <f t="shared" si="63"/>
        <v>81.7</v>
      </c>
    </row>
    <row r="381" spans="1:15" x14ac:dyDescent="0.2">
      <c r="A381" s="1" t="s">
        <v>822</v>
      </c>
      <c r="B381" s="2">
        <v>30.23</v>
      </c>
      <c r="C381" s="2">
        <v>81.680000000000007</v>
      </c>
      <c r="D381" s="2" t="s">
        <v>820</v>
      </c>
      <c r="H381" s="2" t="s">
        <v>3031</v>
      </c>
      <c r="J381" s="7" t="str">
        <f t="shared" si="54"/>
        <v>Jacksonville</v>
      </c>
      <c r="K381" s="7" t="str">
        <f t="shared" si="55"/>
        <v xml:space="preserve">FL  </v>
      </c>
      <c r="L381" s="7" t="str">
        <f t="shared" si="60"/>
        <v xml:space="preserve">FL </v>
      </c>
      <c r="M381" s="7" t="str">
        <f t="shared" si="61"/>
        <v xml:space="preserve">FL </v>
      </c>
      <c r="N381" s="9">
        <f t="shared" si="62"/>
        <v>30.23</v>
      </c>
      <c r="O381" s="9">
        <f t="shared" si="63"/>
        <v>81.680000000000007</v>
      </c>
    </row>
    <row r="382" spans="1:15" x14ac:dyDescent="0.2">
      <c r="A382" s="1" t="s">
        <v>823</v>
      </c>
      <c r="B382" s="2">
        <v>24.55</v>
      </c>
      <c r="C382" s="2">
        <v>81.75</v>
      </c>
      <c r="D382" s="2" t="s">
        <v>824</v>
      </c>
      <c r="E382" s="2" t="s">
        <v>825</v>
      </c>
      <c r="H382" s="2" t="s">
        <v>3032</v>
      </c>
      <c r="J382" s="7" t="str">
        <f t="shared" si="54"/>
        <v>Key Wes</v>
      </c>
      <c r="K382" s="7" t="str">
        <f t="shared" si="55"/>
        <v xml:space="preserve">,FL </v>
      </c>
      <c r="L382" s="7" t="str">
        <f t="shared" si="60"/>
        <v>,FL</v>
      </c>
      <c r="M382" s="7" t="str">
        <f t="shared" si="61"/>
        <v>FL</v>
      </c>
      <c r="N382" s="9">
        <f t="shared" si="62"/>
        <v>24.55</v>
      </c>
      <c r="O382" s="9">
        <f t="shared" si="63"/>
        <v>81.75</v>
      </c>
    </row>
    <row r="383" spans="1:15" x14ac:dyDescent="0.2">
      <c r="A383" s="1" t="s">
        <v>826</v>
      </c>
      <c r="B383" s="2">
        <v>24.57</v>
      </c>
      <c r="C383" s="2">
        <v>81.680000000000007</v>
      </c>
      <c r="D383" s="2" t="s">
        <v>824</v>
      </c>
      <c r="E383" s="2" t="s">
        <v>55</v>
      </c>
      <c r="F383" s="2" t="s">
        <v>780</v>
      </c>
      <c r="H383" s="2" t="s">
        <v>3033</v>
      </c>
      <c r="J383" s="7" t="str">
        <f t="shared" si="54"/>
        <v>Key West N</v>
      </c>
      <c r="K383" s="7" t="str">
        <f t="shared" si="55"/>
        <v>S,FL</v>
      </c>
      <c r="L383" s="7" t="str">
        <f t="shared" si="60"/>
        <v>S,F</v>
      </c>
      <c r="M383" s="7" t="str">
        <f t="shared" si="61"/>
        <v>SF</v>
      </c>
      <c r="N383" s="9">
        <f t="shared" si="62"/>
        <v>24.57</v>
      </c>
      <c r="O383" s="9">
        <f t="shared" si="63"/>
        <v>81.680000000000007</v>
      </c>
    </row>
    <row r="384" spans="1:15" x14ac:dyDescent="0.2">
      <c r="A384" s="1" t="s">
        <v>827</v>
      </c>
      <c r="B384" s="2">
        <v>28.03</v>
      </c>
      <c r="C384" s="2">
        <v>81.95</v>
      </c>
      <c r="D384" s="2" t="s">
        <v>828</v>
      </c>
      <c r="H384" s="2" t="s">
        <v>3034</v>
      </c>
      <c r="J384" s="7" t="str">
        <f t="shared" si="54"/>
        <v>Lakeland</v>
      </c>
      <c r="K384" s="7" t="str">
        <f t="shared" si="55"/>
        <v xml:space="preserve">FL  </v>
      </c>
      <c r="L384" s="7" t="str">
        <f t="shared" si="60"/>
        <v xml:space="preserve">FL </v>
      </c>
      <c r="M384" s="7" t="str">
        <f t="shared" si="61"/>
        <v xml:space="preserve">FL </v>
      </c>
      <c r="N384" s="9">
        <f t="shared" si="62"/>
        <v>28.03</v>
      </c>
      <c r="O384" s="9">
        <f t="shared" si="63"/>
        <v>81.95</v>
      </c>
    </row>
    <row r="385" spans="1:15" x14ac:dyDescent="0.2">
      <c r="A385" s="1" t="s">
        <v>829</v>
      </c>
      <c r="B385" s="2">
        <v>27.85</v>
      </c>
      <c r="C385" s="2">
        <v>82.52</v>
      </c>
      <c r="D385" s="2" t="s">
        <v>830</v>
      </c>
      <c r="E385" s="2" t="s">
        <v>802</v>
      </c>
      <c r="H385" s="2" t="s">
        <v>3035</v>
      </c>
      <c r="J385" s="7" t="str">
        <f t="shared" si="54"/>
        <v>Macdill AF</v>
      </c>
      <c r="K385" s="7" t="str">
        <f t="shared" si="55"/>
        <v xml:space="preserve">,FL </v>
      </c>
      <c r="L385" s="7" t="str">
        <f t="shared" si="60"/>
        <v>,FL</v>
      </c>
      <c r="M385" s="7" t="str">
        <f t="shared" si="61"/>
        <v>FL</v>
      </c>
      <c r="N385" s="9">
        <f t="shared" si="62"/>
        <v>27.85</v>
      </c>
      <c r="O385" s="9">
        <f t="shared" si="63"/>
        <v>82.52</v>
      </c>
    </row>
    <row r="386" spans="1:15" x14ac:dyDescent="0.2">
      <c r="A386" s="1" t="s">
        <v>831</v>
      </c>
      <c r="B386" s="2">
        <v>30.84</v>
      </c>
      <c r="C386" s="2">
        <v>85.18</v>
      </c>
      <c r="D386" s="2" t="s">
        <v>832</v>
      </c>
      <c r="H386" s="2" t="s">
        <v>3036</v>
      </c>
      <c r="J386" s="7" t="str">
        <f t="shared" si="54"/>
        <v>Marianna</v>
      </c>
      <c r="K386" s="7" t="str">
        <f t="shared" si="55"/>
        <v xml:space="preserve">FL  </v>
      </c>
      <c r="L386" s="7" t="str">
        <f t="shared" si="60"/>
        <v xml:space="preserve">FL </v>
      </c>
      <c r="M386" s="7" t="str">
        <f t="shared" si="61"/>
        <v xml:space="preserve">FL </v>
      </c>
      <c r="N386" s="9">
        <f t="shared" si="62"/>
        <v>30.84</v>
      </c>
      <c r="O386" s="9">
        <f t="shared" si="63"/>
        <v>85.18</v>
      </c>
    </row>
    <row r="387" spans="1:15" x14ac:dyDescent="0.2">
      <c r="A387" s="1" t="s">
        <v>833</v>
      </c>
      <c r="B387" s="2">
        <v>30.4</v>
      </c>
      <c r="C387" s="2">
        <v>81.42</v>
      </c>
      <c r="D387" s="2" t="s">
        <v>834</v>
      </c>
      <c r="E387" s="2" t="s">
        <v>780</v>
      </c>
      <c r="H387" s="2" t="s">
        <v>3037</v>
      </c>
      <c r="J387" s="7" t="str">
        <f t="shared" si="54"/>
        <v>Mayport NA</v>
      </c>
      <c r="K387" s="7" t="str">
        <f t="shared" si="55"/>
        <v xml:space="preserve">,FL </v>
      </c>
      <c r="L387" s="7" t="str">
        <f t="shared" si="60"/>
        <v>,FL</v>
      </c>
      <c r="M387" s="7" t="str">
        <f t="shared" si="61"/>
        <v>FL</v>
      </c>
      <c r="N387" s="9">
        <f t="shared" si="62"/>
        <v>30.4</v>
      </c>
      <c r="O387" s="9">
        <f t="shared" si="63"/>
        <v>81.42</v>
      </c>
    </row>
    <row r="388" spans="1:15" x14ac:dyDescent="0.2">
      <c r="A388" s="1" t="s">
        <v>835</v>
      </c>
      <c r="B388" s="2">
        <v>28.1</v>
      </c>
      <c r="C388" s="2">
        <v>80.63</v>
      </c>
      <c r="D388" s="2" t="s">
        <v>836</v>
      </c>
      <c r="H388" s="2" t="s">
        <v>3038</v>
      </c>
      <c r="J388" s="7" t="str">
        <f t="shared" si="54"/>
        <v>Melbourne</v>
      </c>
      <c r="K388" s="7" t="str">
        <f t="shared" si="55"/>
        <v xml:space="preserve">FL  </v>
      </c>
      <c r="L388" s="7" t="str">
        <f t="shared" si="60"/>
        <v xml:space="preserve">FL </v>
      </c>
      <c r="M388" s="7" t="str">
        <f t="shared" si="61"/>
        <v xml:space="preserve">FL </v>
      </c>
      <c r="N388" s="9">
        <f t="shared" si="62"/>
        <v>28.1</v>
      </c>
      <c r="O388" s="9">
        <f t="shared" si="63"/>
        <v>80.63</v>
      </c>
    </row>
    <row r="389" spans="1:15" x14ac:dyDescent="0.2">
      <c r="A389" s="1" t="s">
        <v>837</v>
      </c>
      <c r="B389" s="2">
        <v>25.82</v>
      </c>
      <c r="C389" s="2">
        <v>80.28</v>
      </c>
      <c r="D389" s="2" t="s">
        <v>838</v>
      </c>
      <c r="E389" s="2" t="s">
        <v>839</v>
      </c>
      <c r="H389" s="2" t="s">
        <v>3039</v>
      </c>
      <c r="J389" s="7" t="str">
        <f t="shared" si="54"/>
        <v>Miami Int</v>
      </c>
      <c r="K389" s="7" t="str">
        <f t="shared" si="55"/>
        <v xml:space="preserve">,FL </v>
      </c>
      <c r="L389" s="7" t="str">
        <f t="shared" si="60"/>
        <v>,FL</v>
      </c>
      <c r="M389" s="7" t="str">
        <f t="shared" si="61"/>
        <v>FL</v>
      </c>
      <c r="N389" s="9">
        <f t="shared" si="62"/>
        <v>25.82</v>
      </c>
      <c r="O389" s="9">
        <f t="shared" si="63"/>
        <v>80.28</v>
      </c>
    </row>
    <row r="390" spans="1:15" x14ac:dyDescent="0.2">
      <c r="A390" s="1" t="s">
        <v>840</v>
      </c>
      <c r="B390" s="2">
        <v>25.92</v>
      </c>
      <c r="C390" s="2">
        <v>80.28</v>
      </c>
      <c r="D390" s="2" t="s">
        <v>841</v>
      </c>
      <c r="H390" s="2" t="s">
        <v>3040</v>
      </c>
      <c r="J390" s="7" t="str">
        <f t="shared" si="54"/>
        <v>Miami/Opa</v>
      </c>
      <c r="K390" s="7" t="str">
        <f t="shared" si="55"/>
        <v xml:space="preserve">FL  </v>
      </c>
      <c r="L390" s="7" t="str">
        <f t="shared" si="60"/>
        <v xml:space="preserve">FL </v>
      </c>
      <c r="M390" s="7" t="str">
        <f t="shared" si="61"/>
        <v xml:space="preserve">FL </v>
      </c>
      <c r="N390" s="9">
        <f t="shared" si="62"/>
        <v>25.92</v>
      </c>
      <c r="O390" s="9">
        <f t="shared" si="63"/>
        <v>80.28</v>
      </c>
    </row>
    <row r="391" spans="1:15" x14ac:dyDescent="0.2">
      <c r="A391" s="1" t="s">
        <v>842</v>
      </c>
      <c r="B391" s="2">
        <v>25.65</v>
      </c>
      <c r="C391" s="2">
        <v>80.430000000000007</v>
      </c>
      <c r="D391" s="2" t="s">
        <v>843</v>
      </c>
      <c r="H391" s="2" t="s">
        <v>3041</v>
      </c>
      <c r="J391" s="7" t="str">
        <f t="shared" si="54"/>
        <v>Miami/Tamiami</v>
      </c>
      <c r="K391" s="7" t="str">
        <f t="shared" si="55"/>
        <v xml:space="preserve">FL  </v>
      </c>
      <c r="L391" s="7" t="str">
        <f t="shared" si="60"/>
        <v xml:space="preserve">FL </v>
      </c>
      <c r="M391" s="7" t="str">
        <f t="shared" si="61"/>
        <v xml:space="preserve">FL </v>
      </c>
      <c r="N391" s="9">
        <f t="shared" si="62"/>
        <v>25.65</v>
      </c>
      <c r="O391" s="9">
        <f t="shared" si="63"/>
        <v>80.430000000000007</v>
      </c>
    </row>
    <row r="392" spans="1:15" x14ac:dyDescent="0.2">
      <c r="A392" s="1" t="s">
        <v>844</v>
      </c>
      <c r="B392" s="2">
        <v>26.13</v>
      </c>
      <c r="C392" s="2">
        <v>81.8</v>
      </c>
      <c r="D392" s="2" t="s">
        <v>845</v>
      </c>
      <c r="H392" s="2" t="s">
        <v>3042</v>
      </c>
      <c r="J392" s="7" t="str">
        <f t="shared" si="54"/>
        <v>Naples</v>
      </c>
      <c r="K392" s="7" t="str">
        <f t="shared" si="55"/>
        <v xml:space="preserve">FL  </v>
      </c>
      <c r="L392" s="7" t="str">
        <f t="shared" si="60"/>
        <v xml:space="preserve">FL </v>
      </c>
      <c r="M392" s="7" t="str">
        <f t="shared" si="61"/>
        <v xml:space="preserve">FL </v>
      </c>
      <c r="N392" s="9">
        <f t="shared" si="62"/>
        <v>26.13</v>
      </c>
      <c r="O392" s="9">
        <f t="shared" si="63"/>
        <v>81.8</v>
      </c>
    </row>
    <row r="393" spans="1:15" x14ac:dyDescent="0.2">
      <c r="A393" s="1" t="s">
        <v>846</v>
      </c>
      <c r="B393" s="2">
        <v>28.62</v>
      </c>
      <c r="C393" s="2">
        <v>80.680000000000007</v>
      </c>
      <c r="D393" s="2" t="s">
        <v>847</v>
      </c>
      <c r="E393" s="2" t="s">
        <v>848</v>
      </c>
      <c r="H393" s="2" t="s">
        <v>3043</v>
      </c>
      <c r="J393" s="7" t="str">
        <f t="shared" si="54"/>
        <v>Nasa Shuttl</v>
      </c>
      <c r="K393" s="7" t="str">
        <f t="shared" si="55"/>
        <v xml:space="preserve">,FL </v>
      </c>
      <c r="L393" s="7" t="str">
        <f t="shared" si="60"/>
        <v>,FL</v>
      </c>
      <c r="M393" s="7" t="str">
        <f t="shared" si="61"/>
        <v>FL</v>
      </c>
      <c r="N393" s="9">
        <f t="shared" ref="N393:N410" si="64">B393</f>
        <v>28.62</v>
      </c>
      <c r="O393" s="9">
        <f t="shared" ref="O393:O410" si="65">C393</f>
        <v>80.680000000000007</v>
      </c>
    </row>
    <row r="394" spans="1:15" x14ac:dyDescent="0.2">
      <c r="A394" s="1" t="s">
        <v>849</v>
      </c>
      <c r="B394" s="2">
        <v>28.43</v>
      </c>
      <c r="C394" s="2">
        <v>81.319999999999993</v>
      </c>
      <c r="D394" s="2" t="s">
        <v>850</v>
      </c>
      <c r="H394" s="2" t="s">
        <v>3044</v>
      </c>
      <c r="J394" s="7" t="str">
        <f t="shared" si="54"/>
        <v>Orlando</v>
      </c>
      <c r="K394" s="7" t="str">
        <f t="shared" si="55"/>
        <v xml:space="preserve">FL  </v>
      </c>
      <c r="L394" s="7" t="str">
        <f t="shared" si="60"/>
        <v xml:space="preserve">FL </v>
      </c>
      <c r="M394" s="7" t="str">
        <f t="shared" si="61"/>
        <v xml:space="preserve">FL </v>
      </c>
      <c r="N394" s="9">
        <f t="shared" si="64"/>
        <v>28.43</v>
      </c>
      <c r="O394" s="9">
        <f t="shared" si="65"/>
        <v>81.319999999999993</v>
      </c>
    </row>
    <row r="395" spans="1:15" x14ac:dyDescent="0.2">
      <c r="A395" s="1" t="s">
        <v>851</v>
      </c>
      <c r="B395" s="2">
        <v>28.55</v>
      </c>
      <c r="C395" s="2">
        <v>81.33</v>
      </c>
      <c r="D395" s="2" t="s">
        <v>850</v>
      </c>
      <c r="H395" s="2" t="s">
        <v>3044</v>
      </c>
      <c r="J395" s="7" t="str">
        <f t="shared" si="54"/>
        <v>Orlando</v>
      </c>
      <c r="K395" s="7" t="str">
        <f t="shared" si="55"/>
        <v xml:space="preserve">FL  </v>
      </c>
      <c r="L395" s="7" t="str">
        <f t="shared" si="60"/>
        <v xml:space="preserve">FL </v>
      </c>
      <c r="M395" s="7" t="str">
        <f t="shared" si="61"/>
        <v xml:space="preserve">FL </v>
      </c>
      <c r="N395" s="9">
        <f t="shared" si="64"/>
        <v>28.55</v>
      </c>
      <c r="O395" s="9">
        <f t="shared" si="65"/>
        <v>81.33</v>
      </c>
    </row>
    <row r="396" spans="1:15" x14ac:dyDescent="0.2">
      <c r="A396" s="1" t="s">
        <v>852</v>
      </c>
      <c r="B396" s="2">
        <v>30.2</v>
      </c>
      <c r="C396" s="2">
        <v>85.68</v>
      </c>
      <c r="D396" s="2" t="s">
        <v>853</v>
      </c>
      <c r="E396" s="2" t="s">
        <v>793</v>
      </c>
      <c r="H396" s="2" t="s">
        <v>3045</v>
      </c>
      <c r="J396" s="7" t="str">
        <f t="shared" si="54"/>
        <v>Panama Cit</v>
      </c>
      <c r="K396" s="7" t="str">
        <f t="shared" si="55"/>
        <v xml:space="preserve">,FL </v>
      </c>
      <c r="L396" s="7" t="str">
        <f t="shared" si="60"/>
        <v>,FL</v>
      </c>
      <c r="M396" s="7" t="str">
        <f t="shared" si="61"/>
        <v>FL</v>
      </c>
      <c r="N396" s="9">
        <f t="shared" si="64"/>
        <v>30.2</v>
      </c>
      <c r="O396" s="9">
        <f t="shared" si="65"/>
        <v>85.68</v>
      </c>
    </row>
    <row r="397" spans="1:15" x14ac:dyDescent="0.2">
      <c r="A397" s="1" t="s">
        <v>854</v>
      </c>
      <c r="B397" s="2">
        <v>28.23</v>
      </c>
      <c r="C397" s="2">
        <v>80.599999999999994</v>
      </c>
      <c r="D397" s="2" t="s">
        <v>855</v>
      </c>
      <c r="E397" s="2" t="s">
        <v>802</v>
      </c>
      <c r="H397" s="2" t="s">
        <v>3046</v>
      </c>
      <c r="J397" s="7" t="str">
        <f t="shared" si="54"/>
        <v>Patrick AF</v>
      </c>
      <c r="K397" s="7" t="str">
        <f t="shared" si="55"/>
        <v xml:space="preserve">,FL </v>
      </c>
      <c r="L397" s="7" t="str">
        <f t="shared" si="60"/>
        <v>,FL</v>
      </c>
      <c r="M397" s="7" t="str">
        <f t="shared" si="61"/>
        <v>FL</v>
      </c>
      <c r="N397" s="9">
        <f t="shared" si="64"/>
        <v>28.23</v>
      </c>
      <c r="O397" s="9">
        <f t="shared" si="65"/>
        <v>80.599999999999994</v>
      </c>
    </row>
    <row r="398" spans="1:15" x14ac:dyDescent="0.2">
      <c r="A398" s="1" t="s">
        <v>856</v>
      </c>
      <c r="B398" s="2">
        <v>30.35</v>
      </c>
      <c r="C398" s="2">
        <v>87.32</v>
      </c>
      <c r="D398" s="2" t="s">
        <v>857</v>
      </c>
      <c r="H398" s="2" t="s">
        <v>3047</v>
      </c>
      <c r="J398" s="7" t="str">
        <f t="shared" si="54"/>
        <v>Pensacola</v>
      </c>
      <c r="K398" s="7" t="str">
        <f t="shared" si="55"/>
        <v xml:space="preserve">FL  </v>
      </c>
      <c r="L398" s="7" t="str">
        <f t="shared" si="60"/>
        <v xml:space="preserve">FL </v>
      </c>
      <c r="M398" s="7" t="str">
        <f t="shared" si="61"/>
        <v xml:space="preserve">FL </v>
      </c>
      <c r="N398" s="9">
        <f t="shared" si="64"/>
        <v>30.35</v>
      </c>
      <c r="O398" s="9">
        <f t="shared" si="65"/>
        <v>87.32</v>
      </c>
    </row>
    <row r="399" spans="1:15" x14ac:dyDescent="0.2">
      <c r="A399" s="1" t="s">
        <v>858</v>
      </c>
      <c r="B399" s="2">
        <v>30.47</v>
      </c>
      <c r="C399" s="2">
        <v>87.2</v>
      </c>
      <c r="D399" s="2" t="s">
        <v>857</v>
      </c>
      <c r="H399" s="2" t="s">
        <v>3047</v>
      </c>
      <c r="J399" s="7" t="str">
        <f t="shared" si="54"/>
        <v>Pensacola</v>
      </c>
      <c r="K399" s="7" t="str">
        <f t="shared" si="55"/>
        <v xml:space="preserve">FL  </v>
      </c>
      <c r="L399" s="7" t="str">
        <f t="shared" si="60"/>
        <v xml:space="preserve">FL </v>
      </c>
      <c r="M399" s="7" t="str">
        <f t="shared" si="61"/>
        <v xml:space="preserve">FL </v>
      </c>
      <c r="N399" s="9">
        <f t="shared" si="64"/>
        <v>30.47</v>
      </c>
      <c r="O399" s="9">
        <f t="shared" si="65"/>
        <v>87.2</v>
      </c>
    </row>
    <row r="400" spans="1:15" x14ac:dyDescent="0.2">
      <c r="A400" s="1" t="s">
        <v>859</v>
      </c>
      <c r="B400" s="2">
        <v>27.97</v>
      </c>
      <c r="C400" s="2">
        <v>82.6</v>
      </c>
      <c r="D400" s="2" t="s">
        <v>860</v>
      </c>
      <c r="H400" s="2" t="s">
        <v>3048</v>
      </c>
      <c r="J400" s="7" t="str">
        <f t="shared" si="54"/>
        <v>Ruskin</v>
      </c>
      <c r="K400" s="7" t="str">
        <f t="shared" si="55"/>
        <v xml:space="preserve">FL  </v>
      </c>
      <c r="L400" s="7" t="str">
        <f t="shared" si="60"/>
        <v xml:space="preserve">FL </v>
      </c>
      <c r="M400" s="7" t="str">
        <f t="shared" si="61"/>
        <v xml:space="preserve">FL </v>
      </c>
      <c r="N400" s="9">
        <f t="shared" si="64"/>
        <v>27.97</v>
      </c>
      <c r="O400" s="9">
        <f t="shared" si="65"/>
        <v>82.6</v>
      </c>
    </row>
    <row r="401" spans="1:15" x14ac:dyDescent="0.2">
      <c r="A401" s="1" t="s">
        <v>861</v>
      </c>
      <c r="B401" s="2">
        <v>27.92</v>
      </c>
      <c r="C401" s="2">
        <v>82.68</v>
      </c>
      <c r="D401" s="2" t="s">
        <v>862</v>
      </c>
      <c r="E401" s="2" t="s">
        <v>863</v>
      </c>
      <c r="H401" s="2" t="s">
        <v>3049</v>
      </c>
      <c r="J401" s="7" t="str">
        <f t="shared" si="54"/>
        <v>Saint Peter</v>
      </c>
      <c r="K401" s="7" t="str">
        <f t="shared" si="55"/>
        <v xml:space="preserve">,FL </v>
      </c>
      <c r="L401" s="7" t="str">
        <f t="shared" si="60"/>
        <v>,FL</v>
      </c>
      <c r="M401" s="7" t="str">
        <f t="shared" si="61"/>
        <v>FL</v>
      </c>
      <c r="N401" s="9">
        <f t="shared" si="64"/>
        <v>27.92</v>
      </c>
      <c r="O401" s="9">
        <f t="shared" si="65"/>
        <v>82.68</v>
      </c>
    </row>
    <row r="402" spans="1:15" x14ac:dyDescent="0.2">
      <c r="A402" s="1" t="s">
        <v>864</v>
      </c>
      <c r="B402" s="2">
        <v>28.78</v>
      </c>
      <c r="C402" s="2">
        <v>81.25</v>
      </c>
      <c r="D402" s="2" t="s">
        <v>865</v>
      </c>
      <c r="H402" s="2" t="s">
        <v>3050</v>
      </c>
      <c r="J402" s="7" t="str">
        <f t="shared" si="54"/>
        <v>Sanford</v>
      </c>
      <c r="K402" s="7" t="str">
        <f t="shared" si="55"/>
        <v xml:space="preserve">FL  </v>
      </c>
      <c r="L402" s="7" t="str">
        <f t="shared" si="60"/>
        <v xml:space="preserve">FL </v>
      </c>
      <c r="M402" s="7" t="str">
        <f t="shared" si="61"/>
        <v xml:space="preserve">FL </v>
      </c>
      <c r="N402" s="9">
        <f t="shared" si="64"/>
        <v>28.78</v>
      </c>
      <c r="O402" s="9">
        <f t="shared" si="65"/>
        <v>81.25</v>
      </c>
    </row>
    <row r="403" spans="1:15" x14ac:dyDescent="0.2">
      <c r="A403" s="1" t="s">
        <v>866</v>
      </c>
      <c r="B403" s="2">
        <v>27.4</v>
      </c>
      <c r="C403" s="2">
        <v>82.55</v>
      </c>
      <c r="D403" s="2" t="s">
        <v>867</v>
      </c>
      <c r="H403" s="2" t="s">
        <v>3051</v>
      </c>
      <c r="J403" s="7" t="str">
        <f t="shared" si="54"/>
        <v>Sarasota</v>
      </c>
      <c r="K403" s="7" t="str">
        <f t="shared" si="55"/>
        <v xml:space="preserve">FL  </v>
      </c>
      <c r="L403" s="7" t="str">
        <f t="shared" si="60"/>
        <v xml:space="preserve">FL </v>
      </c>
      <c r="M403" s="7" t="str">
        <f t="shared" si="61"/>
        <v xml:space="preserve">FL </v>
      </c>
      <c r="N403" s="9">
        <f t="shared" si="64"/>
        <v>27.4</v>
      </c>
      <c r="O403" s="9">
        <f t="shared" si="65"/>
        <v>82.55</v>
      </c>
    </row>
    <row r="404" spans="1:15" x14ac:dyDescent="0.2">
      <c r="A404" s="1" t="s">
        <v>868</v>
      </c>
      <c r="B404" s="2">
        <v>30.38</v>
      </c>
      <c r="C404" s="2">
        <v>84.37</v>
      </c>
      <c r="D404" s="2" t="s">
        <v>869</v>
      </c>
      <c r="H404" s="2" t="s">
        <v>3052</v>
      </c>
      <c r="J404" s="7" t="str">
        <f t="shared" si="54"/>
        <v>Tallahassee</v>
      </c>
      <c r="K404" s="7" t="str">
        <f t="shared" si="55"/>
        <v xml:space="preserve">FL  </v>
      </c>
      <c r="L404" s="7" t="str">
        <f t="shared" si="60"/>
        <v xml:space="preserve">FL </v>
      </c>
      <c r="M404" s="7" t="str">
        <f t="shared" si="61"/>
        <v xml:space="preserve">FL </v>
      </c>
      <c r="N404" s="9">
        <f t="shared" si="64"/>
        <v>30.38</v>
      </c>
      <c r="O404" s="9">
        <f t="shared" si="65"/>
        <v>84.37</v>
      </c>
    </row>
    <row r="405" spans="1:15" x14ac:dyDescent="0.2">
      <c r="A405" s="1" t="s">
        <v>870</v>
      </c>
      <c r="B405" s="2">
        <v>27.97</v>
      </c>
      <c r="C405" s="2">
        <v>82.53</v>
      </c>
      <c r="D405" s="2" t="s">
        <v>871</v>
      </c>
      <c r="E405" s="2" t="s">
        <v>839</v>
      </c>
      <c r="H405" s="2" t="s">
        <v>3053</v>
      </c>
      <c r="J405" s="7" t="str">
        <f t="shared" si="54"/>
        <v>Tampa Int</v>
      </c>
      <c r="K405" s="7" t="str">
        <f t="shared" si="55"/>
        <v xml:space="preserve">,FL </v>
      </c>
      <c r="L405" s="7" t="str">
        <f t="shared" si="60"/>
        <v>,FL</v>
      </c>
      <c r="M405" s="7" t="str">
        <f t="shared" si="61"/>
        <v>FL</v>
      </c>
      <c r="N405" s="9">
        <f t="shared" si="64"/>
        <v>27.97</v>
      </c>
      <c r="O405" s="9">
        <f t="shared" si="65"/>
        <v>82.53</v>
      </c>
    </row>
    <row r="406" spans="1:15" x14ac:dyDescent="0.2">
      <c r="A406" s="1" t="s">
        <v>872</v>
      </c>
      <c r="B406" s="2">
        <v>28.52</v>
      </c>
      <c r="C406" s="2">
        <v>80.8</v>
      </c>
      <c r="D406" s="2" t="s">
        <v>873</v>
      </c>
      <c r="H406" s="2" t="s">
        <v>3054</v>
      </c>
      <c r="J406" s="7" t="str">
        <f t="shared" ref="J406:J469" si="66">LEFT(H406,LEN(H406)-5)</f>
        <v>Titusville</v>
      </c>
      <c r="K406" s="7" t="str">
        <f t="shared" ref="K406:K469" si="67">RIGHT(H406,4)</f>
        <v xml:space="preserve">FL  </v>
      </c>
      <c r="L406" s="7" t="str">
        <f t="shared" si="60"/>
        <v xml:space="preserve">FL </v>
      </c>
      <c r="M406" s="7" t="str">
        <f t="shared" si="61"/>
        <v xml:space="preserve">FL </v>
      </c>
      <c r="N406" s="9">
        <f t="shared" si="64"/>
        <v>28.52</v>
      </c>
      <c r="O406" s="9">
        <f t="shared" si="65"/>
        <v>80.8</v>
      </c>
    </row>
    <row r="407" spans="1:15" x14ac:dyDescent="0.2">
      <c r="A407" s="1" t="s">
        <v>874</v>
      </c>
      <c r="B407" s="2">
        <v>30.07</v>
      </c>
      <c r="C407" s="2">
        <v>85.58</v>
      </c>
      <c r="D407" s="2" t="s">
        <v>875</v>
      </c>
      <c r="E407" s="2" t="s">
        <v>802</v>
      </c>
      <c r="H407" s="2" t="s">
        <v>3055</v>
      </c>
      <c r="J407" s="7" t="str">
        <f t="shared" si="66"/>
        <v>Tyndall AF</v>
      </c>
      <c r="K407" s="7" t="str">
        <f t="shared" si="67"/>
        <v xml:space="preserve">,FL </v>
      </c>
      <c r="L407" s="7" t="str">
        <f t="shared" si="60"/>
        <v>,FL</v>
      </c>
      <c r="M407" s="7" t="str">
        <f t="shared" si="61"/>
        <v>FL</v>
      </c>
      <c r="N407" s="9">
        <f t="shared" si="64"/>
        <v>30.07</v>
      </c>
      <c r="O407" s="9">
        <f t="shared" si="65"/>
        <v>85.58</v>
      </c>
    </row>
    <row r="408" spans="1:15" x14ac:dyDescent="0.2">
      <c r="A408" s="1" t="s">
        <v>876</v>
      </c>
      <c r="B408" s="2">
        <v>27.65</v>
      </c>
      <c r="C408" s="2">
        <v>80.42</v>
      </c>
      <c r="D408" s="2" t="s">
        <v>877</v>
      </c>
      <c r="E408" s="2" t="s">
        <v>878</v>
      </c>
      <c r="H408" s="2" t="s">
        <v>3056</v>
      </c>
      <c r="J408" s="7" t="str">
        <f t="shared" si="66"/>
        <v>Vero Beac</v>
      </c>
      <c r="K408" s="7" t="str">
        <f t="shared" si="67"/>
        <v xml:space="preserve">,FL </v>
      </c>
      <c r="L408" s="7" t="str">
        <f t="shared" si="60"/>
        <v>,FL</v>
      </c>
      <c r="M408" s="7" t="str">
        <f t="shared" si="61"/>
        <v>FL</v>
      </c>
      <c r="N408" s="9">
        <f t="shared" si="64"/>
        <v>27.65</v>
      </c>
      <c r="O408" s="9">
        <f t="shared" si="65"/>
        <v>80.42</v>
      </c>
    </row>
    <row r="409" spans="1:15" x14ac:dyDescent="0.2">
      <c r="A409" s="1" t="s">
        <v>879</v>
      </c>
      <c r="B409" s="2">
        <v>26.68</v>
      </c>
      <c r="C409" s="2">
        <v>80.12</v>
      </c>
      <c r="D409" s="2" t="s">
        <v>880</v>
      </c>
      <c r="E409" s="2" t="s">
        <v>572</v>
      </c>
      <c r="F409" s="2" t="s">
        <v>878</v>
      </c>
      <c r="H409" s="2" t="s">
        <v>3057</v>
      </c>
      <c r="J409" s="7" t="str">
        <f t="shared" si="66"/>
        <v>W Palm Bea</v>
      </c>
      <c r="K409" s="7" t="str">
        <f t="shared" si="67"/>
        <v>h,FL</v>
      </c>
      <c r="L409" s="7" t="str">
        <f t="shared" si="60"/>
        <v>h,F</v>
      </c>
      <c r="M409" s="7" t="str">
        <f t="shared" si="61"/>
        <v>hF</v>
      </c>
      <c r="N409" s="9">
        <f t="shared" si="64"/>
        <v>26.68</v>
      </c>
      <c r="O409" s="9">
        <f t="shared" si="65"/>
        <v>80.12</v>
      </c>
    </row>
    <row r="410" spans="1:15" x14ac:dyDescent="0.2">
      <c r="A410" s="1" t="s">
        <v>881</v>
      </c>
      <c r="B410" s="2">
        <v>30.72</v>
      </c>
      <c r="C410" s="2">
        <v>87.02</v>
      </c>
      <c r="D410" s="2" t="s">
        <v>882</v>
      </c>
      <c r="E410" s="2" t="s">
        <v>799</v>
      </c>
      <c r="H410" s="2" t="s">
        <v>3058</v>
      </c>
      <c r="J410" s="7" t="str">
        <f t="shared" si="66"/>
        <v>Whiting Fl</v>
      </c>
      <c r="K410" s="7" t="str">
        <f t="shared" si="67"/>
        <v xml:space="preserve">,FL </v>
      </c>
      <c r="L410" s="7" t="str">
        <f t="shared" si="60"/>
        <v>,FL</v>
      </c>
      <c r="M410" s="7" t="str">
        <f t="shared" si="61"/>
        <v>FL</v>
      </c>
      <c r="N410" s="9">
        <f t="shared" si="64"/>
        <v>30.72</v>
      </c>
      <c r="O410" s="9">
        <f t="shared" si="65"/>
        <v>87.02</v>
      </c>
    </row>
    <row r="411" spans="1:15" x14ac:dyDescent="0.2">
      <c r="A411" s="4"/>
      <c r="H411" s="2" t="s">
        <v>2726</v>
      </c>
      <c r="J411" s="7"/>
      <c r="K411" s="7"/>
      <c r="L411" s="7"/>
      <c r="M411" s="7"/>
      <c r="N411" s="9"/>
      <c r="O411" s="9"/>
    </row>
    <row r="412" spans="1:15" x14ac:dyDescent="0.2">
      <c r="A412" s="1" t="s">
        <v>9</v>
      </c>
      <c r="H412" s="2" t="s">
        <v>2726</v>
      </c>
      <c r="J412" s="7"/>
      <c r="K412" s="7"/>
      <c r="L412" s="7"/>
      <c r="M412" s="7"/>
      <c r="N412" s="9"/>
      <c r="O412" s="9"/>
    </row>
    <row r="413" spans="1:15" x14ac:dyDescent="0.2">
      <c r="A413" s="4"/>
      <c r="H413" s="2" t="s">
        <v>2726</v>
      </c>
      <c r="J413" s="7"/>
      <c r="K413" s="7"/>
      <c r="L413" s="7"/>
      <c r="M413" s="7"/>
      <c r="N413" s="9"/>
      <c r="O413" s="9"/>
    </row>
    <row r="414" spans="1:15" x14ac:dyDescent="0.2">
      <c r="A414" s="1" t="s">
        <v>883</v>
      </c>
      <c r="B414" s="2">
        <v>31.53</v>
      </c>
      <c r="C414" s="2">
        <v>84.18</v>
      </c>
      <c r="D414" s="2" t="s">
        <v>884</v>
      </c>
      <c r="H414" s="2" t="s">
        <v>3059</v>
      </c>
      <c r="J414" s="7" t="str">
        <f t="shared" si="66"/>
        <v>Albany</v>
      </c>
      <c r="K414" s="7" t="str">
        <f t="shared" si="67"/>
        <v xml:space="preserve">GA  </v>
      </c>
      <c r="L414" s="7" t="str">
        <f t="shared" ref="L414:L436" si="68">LEFT(K414,LEN(K414)-1)</f>
        <v xml:space="preserve">GA </v>
      </c>
      <c r="M414" s="7" t="str">
        <f t="shared" ref="M414:M436" si="69">SUBSTITUTE(L414,",","")</f>
        <v xml:space="preserve">GA </v>
      </c>
      <c r="N414" s="9">
        <f t="shared" ref="N414:N436" si="70">B414</f>
        <v>31.53</v>
      </c>
      <c r="O414" s="9">
        <f t="shared" ref="O414:O436" si="71">C414</f>
        <v>84.18</v>
      </c>
    </row>
    <row r="415" spans="1:15" x14ac:dyDescent="0.2">
      <c r="A415" s="1" t="s">
        <v>885</v>
      </c>
      <c r="B415" s="2">
        <v>31.53</v>
      </c>
      <c r="C415" s="2">
        <v>82.52</v>
      </c>
      <c r="D415" s="2" t="s">
        <v>886</v>
      </c>
      <c r="H415" s="2" t="s">
        <v>3060</v>
      </c>
      <c r="J415" s="7" t="str">
        <f t="shared" si="66"/>
        <v>Alma</v>
      </c>
      <c r="K415" s="7" t="str">
        <f t="shared" si="67"/>
        <v xml:space="preserve">GA  </v>
      </c>
      <c r="L415" s="7" t="str">
        <f t="shared" si="68"/>
        <v xml:space="preserve">GA </v>
      </c>
      <c r="M415" s="7" t="str">
        <f t="shared" si="69"/>
        <v xml:space="preserve">GA </v>
      </c>
      <c r="N415" s="9">
        <f t="shared" si="70"/>
        <v>31.53</v>
      </c>
      <c r="O415" s="9">
        <f t="shared" si="71"/>
        <v>82.52</v>
      </c>
    </row>
    <row r="416" spans="1:15" x14ac:dyDescent="0.2">
      <c r="A416" s="1" t="s">
        <v>887</v>
      </c>
      <c r="B416" s="2">
        <v>33.950000000000003</v>
      </c>
      <c r="C416" s="2">
        <v>83.32</v>
      </c>
      <c r="D416" s="2" t="s">
        <v>888</v>
      </c>
      <c r="H416" s="2" t="s">
        <v>3061</v>
      </c>
      <c r="J416" s="7" t="str">
        <f t="shared" si="66"/>
        <v>Athens</v>
      </c>
      <c r="K416" s="7" t="str">
        <f t="shared" si="67"/>
        <v xml:space="preserve">GA  </v>
      </c>
      <c r="L416" s="7" t="str">
        <f t="shared" si="68"/>
        <v xml:space="preserve">GA </v>
      </c>
      <c r="M416" s="7" t="str">
        <f t="shared" si="69"/>
        <v xml:space="preserve">GA </v>
      </c>
      <c r="N416" s="9">
        <f t="shared" si="70"/>
        <v>33.950000000000003</v>
      </c>
      <c r="O416" s="9">
        <f t="shared" si="71"/>
        <v>83.32</v>
      </c>
    </row>
    <row r="417" spans="1:15" x14ac:dyDescent="0.2">
      <c r="A417" s="1" t="s">
        <v>889</v>
      </c>
      <c r="B417" s="2">
        <v>33.65</v>
      </c>
      <c r="C417" s="2">
        <v>84.42</v>
      </c>
      <c r="D417" s="2" t="s">
        <v>890</v>
      </c>
      <c r="H417" s="2" t="s">
        <v>3062</v>
      </c>
      <c r="J417" s="7" t="str">
        <f t="shared" si="66"/>
        <v>Atlanta</v>
      </c>
      <c r="K417" s="7" t="str">
        <f t="shared" si="67"/>
        <v xml:space="preserve">GA  </v>
      </c>
      <c r="L417" s="7" t="str">
        <f t="shared" si="68"/>
        <v xml:space="preserve">GA </v>
      </c>
      <c r="M417" s="7" t="str">
        <f t="shared" si="69"/>
        <v xml:space="preserve">GA </v>
      </c>
      <c r="N417" s="9">
        <f t="shared" si="70"/>
        <v>33.65</v>
      </c>
      <c r="O417" s="9">
        <f t="shared" si="71"/>
        <v>84.42</v>
      </c>
    </row>
    <row r="418" spans="1:15" x14ac:dyDescent="0.2">
      <c r="A418" s="1" t="s">
        <v>889</v>
      </c>
      <c r="B418" s="2">
        <v>33.65</v>
      </c>
      <c r="C418" s="2">
        <v>84.42</v>
      </c>
      <c r="D418" s="2" t="s">
        <v>890</v>
      </c>
      <c r="H418" s="2" t="s">
        <v>3062</v>
      </c>
      <c r="J418" s="7" t="str">
        <f t="shared" si="66"/>
        <v>Atlanta</v>
      </c>
      <c r="K418" s="7" t="str">
        <f t="shared" si="67"/>
        <v xml:space="preserve">GA  </v>
      </c>
      <c r="L418" s="7" t="str">
        <f t="shared" si="68"/>
        <v xml:space="preserve">GA </v>
      </c>
      <c r="M418" s="7" t="str">
        <f t="shared" si="69"/>
        <v xml:space="preserve">GA </v>
      </c>
      <c r="N418" s="9">
        <f t="shared" si="70"/>
        <v>33.65</v>
      </c>
      <c r="O418" s="9">
        <f t="shared" si="71"/>
        <v>84.42</v>
      </c>
    </row>
    <row r="419" spans="1:15" x14ac:dyDescent="0.2">
      <c r="A419" s="1" t="s">
        <v>891</v>
      </c>
      <c r="B419" s="2">
        <v>33.880000000000003</v>
      </c>
      <c r="C419" s="2">
        <v>84.3</v>
      </c>
      <c r="D419" s="2" t="s">
        <v>892</v>
      </c>
      <c r="H419" s="2" t="s">
        <v>3063</v>
      </c>
      <c r="J419" s="7" t="str">
        <f t="shared" si="66"/>
        <v>Atlanta/Dklb</v>
      </c>
      <c r="K419" s="7" t="str">
        <f t="shared" si="67"/>
        <v xml:space="preserve">GA  </v>
      </c>
      <c r="L419" s="7" t="str">
        <f t="shared" si="68"/>
        <v xml:space="preserve">GA </v>
      </c>
      <c r="M419" s="7" t="str">
        <f t="shared" si="69"/>
        <v xml:space="preserve">GA </v>
      </c>
      <c r="N419" s="9">
        <f t="shared" si="70"/>
        <v>33.880000000000003</v>
      </c>
      <c r="O419" s="9">
        <f t="shared" si="71"/>
        <v>84.3</v>
      </c>
    </row>
    <row r="420" spans="1:15" x14ac:dyDescent="0.2">
      <c r="A420" s="1" t="s">
        <v>893</v>
      </c>
      <c r="B420" s="2">
        <v>33.78</v>
      </c>
      <c r="C420" s="2">
        <v>84.52</v>
      </c>
      <c r="D420" s="2" t="s">
        <v>894</v>
      </c>
      <c r="H420" s="2" t="s">
        <v>3064</v>
      </c>
      <c r="J420" s="7" t="str">
        <f t="shared" si="66"/>
        <v>Atlanta/Fltn</v>
      </c>
      <c r="K420" s="7" t="str">
        <f t="shared" si="67"/>
        <v xml:space="preserve">GA  </v>
      </c>
      <c r="L420" s="7" t="str">
        <f t="shared" si="68"/>
        <v xml:space="preserve">GA </v>
      </c>
      <c r="M420" s="7" t="str">
        <f t="shared" si="69"/>
        <v xml:space="preserve">GA </v>
      </c>
      <c r="N420" s="9">
        <f t="shared" si="70"/>
        <v>33.78</v>
      </c>
      <c r="O420" s="9">
        <f t="shared" si="71"/>
        <v>84.52</v>
      </c>
    </row>
    <row r="421" spans="1:15" x14ac:dyDescent="0.2">
      <c r="A421" s="1" t="s">
        <v>895</v>
      </c>
      <c r="B421" s="2">
        <v>33.369999999999997</v>
      </c>
      <c r="C421" s="2">
        <v>81.97</v>
      </c>
      <c r="D421" s="2" t="s">
        <v>896</v>
      </c>
      <c r="H421" s="2" t="s">
        <v>3065</v>
      </c>
      <c r="J421" s="7" t="str">
        <f t="shared" si="66"/>
        <v>Augusta/Bush</v>
      </c>
      <c r="K421" s="7" t="str">
        <f t="shared" si="67"/>
        <v xml:space="preserve">GA  </v>
      </c>
      <c r="L421" s="7" t="str">
        <f t="shared" si="68"/>
        <v xml:space="preserve">GA </v>
      </c>
      <c r="M421" s="7" t="str">
        <f t="shared" si="69"/>
        <v xml:space="preserve">GA </v>
      </c>
      <c r="N421" s="9">
        <f t="shared" si="70"/>
        <v>33.369999999999997</v>
      </c>
      <c r="O421" s="9">
        <f t="shared" si="71"/>
        <v>81.97</v>
      </c>
    </row>
    <row r="422" spans="1:15" x14ac:dyDescent="0.2">
      <c r="A422" s="1" t="s">
        <v>897</v>
      </c>
      <c r="B422" s="2">
        <v>31.15</v>
      </c>
      <c r="C422" s="2">
        <v>81.38</v>
      </c>
      <c r="D422" s="2" t="s">
        <v>898</v>
      </c>
      <c r="H422" s="2" t="s">
        <v>3066</v>
      </c>
      <c r="J422" s="7" t="str">
        <f t="shared" si="66"/>
        <v>Brunswick</v>
      </c>
      <c r="K422" s="7" t="str">
        <f t="shared" si="67"/>
        <v xml:space="preserve">GA  </v>
      </c>
      <c r="L422" s="7" t="str">
        <f t="shared" si="68"/>
        <v xml:space="preserve">GA </v>
      </c>
      <c r="M422" s="7" t="str">
        <f t="shared" si="69"/>
        <v xml:space="preserve">GA </v>
      </c>
      <c r="N422" s="9">
        <f t="shared" si="70"/>
        <v>31.15</v>
      </c>
      <c r="O422" s="9">
        <f t="shared" si="71"/>
        <v>81.38</v>
      </c>
    </row>
    <row r="423" spans="1:15" x14ac:dyDescent="0.2">
      <c r="A423" s="1" t="s">
        <v>899</v>
      </c>
      <c r="B423" s="2">
        <v>32.520000000000003</v>
      </c>
      <c r="C423" s="2">
        <v>84.93</v>
      </c>
      <c r="D423" s="2" t="s">
        <v>900</v>
      </c>
      <c r="H423" s="2" t="s">
        <v>3067</v>
      </c>
      <c r="J423" s="7" t="str">
        <f t="shared" si="66"/>
        <v>Columbus</v>
      </c>
      <c r="K423" s="7" t="str">
        <f t="shared" si="67"/>
        <v xml:space="preserve">GA  </v>
      </c>
      <c r="L423" s="7" t="str">
        <f t="shared" si="68"/>
        <v xml:space="preserve">GA </v>
      </c>
      <c r="M423" s="7" t="str">
        <f t="shared" si="69"/>
        <v xml:space="preserve">GA </v>
      </c>
      <c r="N423" s="9">
        <f t="shared" si="70"/>
        <v>32.520000000000003</v>
      </c>
      <c r="O423" s="9">
        <f t="shared" si="71"/>
        <v>84.93</v>
      </c>
    </row>
    <row r="424" spans="1:15" x14ac:dyDescent="0.2">
      <c r="A424" s="1" t="s">
        <v>901</v>
      </c>
      <c r="B424" s="2">
        <v>33.92</v>
      </c>
      <c r="C424" s="2">
        <v>84.52</v>
      </c>
      <c r="D424" s="2" t="s">
        <v>902</v>
      </c>
      <c r="E424" s="2" t="s">
        <v>903</v>
      </c>
      <c r="H424" s="2" t="s">
        <v>3068</v>
      </c>
      <c r="J424" s="7" t="str">
        <f t="shared" si="66"/>
        <v>Dobbins AF</v>
      </c>
      <c r="K424" s="7" t="str">
        <f t="shared" si="67"/>
        <v xml:space="preserve">,GA </v>
      </c>
      <c r="L424" s="7" t="str">
        <f t="shared" si="68"/>
        <v>,GA</v>
      </c>
      <c r="M424" s="7" t="str">
        <f t="shared" si="69"/>
        <v>GA</v>
      </c>
      <c r="N424" s="9">
        <f t="shared" si="70"/>
        <v>33.92</v>
      </c>
      <c r="O424" s="9">
        <f t="shared" si="71"/>
        <v>84.52</v>
      </c>
    </row>
    <row r="425" spans="1:15" x14ac:dyDescent="0.2">
      <c r="A425" s="1" t="s">
        <v>904</v>
      </c>
      <c r="B425" s="2">
        <v>34.53</v>
      </c>
      <c r="C425" s="2">
        <v>84.87</v>
      </c>
      <c r="D425" s="2" t="s">
        <v>902</v>
      </c>
      <c r="E425" s="2" t="s">
        <v>903</v>
      </c>
      <c r="H425" s="2" t="s">
        <v>3068</v>
      </c>
      <c r="J425" s="7" t="str">
        <f t="shared" si="66"/>
        <v>Dobbins AF</v>
      </c>
      <c r="K425" s="7" t="str">
        <f t="shared" si="67"/>
        <v xml:space="preserve">,GA </v>
      </c>
      <c r="L425" s="7" t="str">
        <f t="shared" si="68"/>
        <v>,GA</v>
      </c>
      <c r="M425" s="7" t="str">
        <f t="shared" si="69"/>
        <v>GA</v>
      </c>
      <c r="N425" s="9">
        <f t="shared" si="70"/>
        <v>34.53</v>
      </c>
      <c r="O425" s="9">
        <f t="shared" si="71"/>
        <v>84.87</v>
      </c>
    </row>
    <row r="426" spans="1:15" x14ac:dyDescent="0.2">
      <c r="A426" s="1" t="s">
        <v>905</v>
      </c>
      <c r="B426" s="2">
        <v>32.33</v>
      </c>
      <c r="C426" s="2">
        <v>85</v>
      </c>
      <c r="D426" s="2" t="s">
        <v>71</v>
      </c>
      <c r="E426" s="2" t="s">
        <v>906</v>
      </c>
      <c r="H426" s="2" t="s">
        <v>3069</v>
      </c>
      <c r="J426" s="7" t="str">
        <f t="shared" si="66"/>
        <v>Fort Bennin</v>
      </c>
      <c r="K426" s="7" t="str">
        <f t="shared" si="67"/>
        <v xml:space="preserve">,GA </v>
      </c>
      <c r="L426" s="7" t="str">
        <f t="shared" si="68"/>
        <v>,GA</v>
      </c>
      <c r="M426" s="7" t="str">
        <f t="shared" si="69"/>
        <v>GA</v>
      </c>
      <c r="N426" s="9">
        <f t="shared" si="70"/>
        <v>32.33</v>
      </c>
      <c r="O426" s="9">
        <f t="shared" si="71"/>
        <v>85</v>
      </c>
    </row>
    <row r="427" spans="1:15" x14ac:dyDescent="0.2">
      <c r="A427" s="1" t="s">
        <v>907</v>
      </c>
      <c r="B427" s="2">
        <v>31.88</v>
      </c>
      <c r="C427" s="2">
        <v>81.569999999999993</v>
      </c>
      <c r="D427" s="2" t="s">
        <v>401</v>
      </c>
      <c r="E427" s="2" t="s">
        <v>908</v>
      </c>
      <c r="H427" s="2" t="s">
        <v>3070</v>
      </c>
      <c r="J427" s="7" t="str">
        <f t="shared" si="66"/>
        <v>Ft Stewar</v>
      </c>
      <c r="K427" s="7" t="str">
        <f t="shared" si="67"/>
        <v xml:space="preserve">,GA </v>
      </c>
      <c r="L427" s="7" t="str">
        <f t="shared" si="68"/>
        <v>,GA</v>
      </c>
      <c r="M427" s="7" t="str">
        <f t="shared" si="69"/>
        <v>GA</v>
      </c>
      <c r="N427" s="9">
        <f t="shared" si="70"/>
        <v>31.88</v>
      </c>
      <c r="O427" s="9">
        <f t="shared" si="71"/>
        <v>81.569999999999993</v>
      </c>
    </row>
    <row r="428" spans="1:15" x14ac:dyDescent="0.2">
      <c r="A428" s="1" t="s">
        <v>909</v>
      </c>
      <c r="B428" s="2">
        <v>32.020000000000003</v>
      </c>
      <c r="C428" s="2">
        <v>81.150000000000006</v>
      </c>
      <c r="D428" s="2" t="s">
        <v>910</v>
      </c>
      <c r="E428" s="2" t="s">
        <v>911</v>
      </c>
      <c r="H428" s="2" t="s">
        <v>3071</v>
      </c>
      <c r="J428" s="7" t="str">
        <f t="shared" si="66"/>
        <v>Hunter Aa</v>
      </c>
      <c r="K428" s="7" t="str">
        <f t="shared" si="67"/>
        <v xml:space="preserve">,GA </v>
      </c>
      <c r="L428" s="7" t="str">
        <f t="shared" si="68"/>
        <v>,GA</v>
      </c>
      <c r="M428" s="7" t="str">
        <f t="shared" si="69"/>
        <v>GA</v>
      </c>
      <c r="N428" s="9">
        <f t="shared" si="70"/>
        <v>32.020000000000003</v>
      </c>
      <c r="O428" s="9">
        <f t="shared" si="71"/>
        <v>81.150000000000006</v>
      </c>
    </row>
    <row r="429" spans="1:15" x14ac:dyDescent="0.2">
      <c r="A429" s="1" t="s">
        <v>912</v>
      </c>
      <c r="B429" s="2">
        <v>33.01</v>
      </c>
      <c r="C429" s="2">
        <v>85.07</v>
      </c>
      <c r="D429" s="2" t="s">
        <v>507</v>
      </c>
      <c r="E429" s="2" t="s">
        <v>913</v>
      </c>
      <c r="H429" s="2" t="s">
        <v>3072</v>
      </c>
      <c r="J429" s="7" t="str">
        <f t="shared" si="66"/>
        <v>La Grang</v>
      </c>
      <c r="K429" s="7" t="str">
        <f t="shared" si="67"/>
        <v xml:space="preserve">,GA </v>
      </c>
      <c r="L429" s="7" t="str">
        <f t="shared" si="68"/>
        <v>,GA</v>
      </c>
      <c r="M429" s="7" t="str">
        <f t="shared" si="69"/>
        <v>GA</v>
      </c>
      <c r="N429" s="9">
        <f t="shared" si="70"/>
        <v>33.01</v>
      </c>
      <c r="O429" s="9">
        <f t="shared" si="71"/>
        <v>85.07</v>
      </c>
    </row>
    <row r="430" spans="1:15" x14ac:dyDescent="0.2">
      <c r="A430" s="1" t="s">
        <v>914</v>
      </c>
      <c r="B430" s="2">
        <v>32.700000000000003</v>
      </c>
      <c r="C430" s="2">
        <v>83.65</v>
      </c>
      <c r="D430" s="2" t="s">
        <v>915</v>
      </c>
      <c r="H430" s="2" t="s">
        <v>3073</v>
      </c>
      <c r="J430" s="7" t="str">
        <f t="shared" si="66"/>
        <v>Macon/Lewis</v>
      </c>
      <c r="K430" s="7" t="str">
        <f t="shared" si="67"/>
        <v xml:space="preserve">GA  </v>
      </c>
      <c r="L430" s="7" t="str">
        <f t="shared" si="68"/>
        <v xml:space="preserve">GA </v>
      </c>
      <c r="M430" s="7" t="str">
        <f t="shared" si="69"/>
        <v xml:space="preserve">GA </v>
      </c>
      <c r="N430" s="9">
        <f t="shared" si="70"/>
        <v>32.700000000000003</v>
      </c>
      <c r="O430" s="9">
        <f t="shared" si="71"/>
        <v>83.65</v>
      </c>
    </row>
    <row r="431" spans="1:15" x14ac:dyDescent="0.2">
      <c r="A431" s="1" t="s">
        <v>916</v>
      </c>
      <c r="B431" s="2">
        <v>30.97</v>
      </c>
      <c r="C431" s="2">
        <v>83.2</v>
      </c>
      <c r="D431" s="2" t="s">
        <v>917</v>
      </c>
      <c r="E431" s="2" t="s">
        <v>903</v>
      </c>
      <c r="H431" s="2" t="s">
        <v>3074</v>
      </c>
      <c r="J431" s="7" t="str">
        <f t="shared" si="66"/>
        <v>Moody AF</v>
      </c>
      <c r="K431" s="7" t="str">
        <f t="shared" si="67"/>
        <v xml:space="preserve">,GA </v>
      </c>
      <c r="L431" s="7" t="str">
        <f t="shared" si="68"/>
        <v>,GA</v>
      </c>
      <c r="M431" s="7" t="str">
        <f t="shared" si="69"/>
        <v>GA</v>
      </c>
      <c r="N431" s="9">
        <f t="shared" si="70"/>
        <v>30.97</v>
      </c>
      <c r="O431" s="9">
        <f t="shared" si="71"/>
        <v>83.2</v>
      </c>
    </row>
    <row r="432" spans="1:15" x14ac:dyDescent="0.2">
      <c r="A432" s="1" t="s">
        <v>918</v>
      </c>
      <c r="B432" s="2">
        <v>32.630000000000003</v>
      </c>
      <c r="C432" s="2">
        <v>83.6</v>
      </c>
      <c r="D432" s="2" t="s">
        <v>919</v>
      </c>
      <c r="E432" s="2" t="s">
        <v>903</v>
      </c>
      <c r="H432" s="2" t="s">
        <v>3075</v>
      </c>
      <c r="J432" s="7" t="str">
        <f t="shared" si="66"/>
        <v>Robins AF</v>
      </c>
      <c r="K432" s="7" t="str">
        <f t="shared" si="67"/>
        <v xml:space="preserve">,GA </v>
      </c>
      <c r="L432" s="7" t="str">
        <f t="shared" si="68"/>
        <v>,GA</v>
      </c>
      <c r="M432" s="7" t="str">
        <f t="shared" si="69"/>
        <v>GA</v>
      </c>
      <c r="N432" s="9">
        <f t="shared" si="70"/>
        <v>32.630000000000003</v>
      </c>
      <c r="O432" s="9">
        <f t="shared" si="71"/>
        <v>83.6</v>
      </c>
    </row>
    <row r="433" spans="1:15" x14ac:dyDescent="0.2">
      <c r="A433" s="1" t="s">
        <v>920</v>
      </c>
      <c r="B433" s="2">
        <v>34.35</v>
      </c>
      <c r="C433" s="2">
        <v>85.17</v>
      </c>
      <c r="D433" s="2" t="s">
        <v>921</v>
      </c>
      <c r="H433" s="2" t="s">
        <v>3076</v>
      </c>
      <c r="J433" s="7" t="str">
        <f t="shared" si="66"/>
        <v>Rome/Russell</v>
      </c>
      <c r="K433" s="7" t="str">
        <f t="shared" si="67"/>
        <v xml:space="preserve">GA  </v>
      </c>
      <c r="L433" s="7" t="str">
        <f t="shared" si="68"/>
        <v xml:space="preserve">GA </v>
      </c>
      <c r="M433" s="7" t="str">
        <f t="shared" si="69"/>
        <v xml:space="preserve">GA </v>
      </c>
      <c r="N433" s="9">
        <f t="shared" si="70"/>
        <v>34.35</v>
      </c>
      <c r="O433" s="9">
        <f t="shared" si="71"/>
        <v>85.17</v>
      </c>
    </row>
    <row r="434" spans="1:15" x14ac:dyDescent="0.2">
      <c r="A434" s="1" t="s">
        <v>922</v>
      </c>
      <c r="B434" s="2">
        <v>32.130000000000003</v>
      </c>
      <c r="C434" s="2">
        <v>81.2</v>
      </c>
      <c r="D434" s="2" t="s">
        <v>923</v>
      </c>
      <c r="E434" s="2" t="s">
        <v>924</v>
      </c>
      <c r="H434" s="2" t="s">
        <v>3077</v>
      </c>
      <c r="J434" s="7" t="str">
        <f t="shared" si="66"/>
        <v>Savannah Mu</v>
      </c>
      <c r="K434" s="7" t="str">
        <f t="shared" si="67"/>
        <v xml:space="preserve">,GA </v>
      </c>
      <c r="L434" s="7" t="str">
        <f t="shared" si="68"/>
        <v>,GA</v>
      </c>
      <c r="M434" s="7" t="str">
        <f t="shared" si="69"/>
        <v>GA</v>
      </c>
      <c r="N434" s="9">
        <f t="shared" si="70"/>
        <v>32.130000000000003</v>
      </c>
      <c r="O434" s="9">
        <f t="shared" si="71"/>
        <v>81.2</v>
      </c>
    </row>
    <row r="435" spans="1:15" x14ac:dyDescent="0.2">
      <c r="A435" s="1" t="s">
        <v>925</v>
      </c>
      <c r="B435" s="2">
        <v>30.78</v>
      </c>
      <c r="C435" s="2">
        <v>83.28</v>
      </c>
      <c r="D435" s="2" t="s">
        <v>926</v>
      </c>
      <c r="H435" s="2" t="s">
        <v>3078</v>
      </c>
      <c r="J435" s="7" t="str">
        <f t="shared" si="66"/>
        <v>Valdosta</v>
      </c>
      <c r="K435" s="7" t="str">
        <f t="shared" si="67"/>
        <v xml:space="preserve">GA  </v>
      </c>
      <c r="L435" s="7" t="str">
        <f t="shared" si="68"/>
        <v xml:space="preserve">GA </v>
      </c>
      <c r="M435" s="7" t="str">
        <f t="shared" si="69"/>
        <v xml:space="preserve">GA </v>
      </c>
      <c r="N435" s="9">
        <f t="shared" si="70"/>
        <v>30.78</v>
      </c>
      <c r="O435" s="9">
        <f t="shared" si="71"/>
        <v>83.28</v>
      </c>
    </row>
    <row r="436" spans="1:15" x14ac:dyDescent="0.2">
      <c r="A436" s="1" t="s">
        <v>927</v>
      </c>
      <c r="B436" s="2">
        <v>31.25</v>
      </c>
      <c r="C436" s="2">
        <v>82.4</v>
      </c>
      <c r="D436" s="2" t="s">
        <v>928</v>
      </c>
      <c r="H436" s="2" t="s">
        <v>3079</v>
      </c>
      <c r="J436" s="7" t="str">
        <f t="shared" si="66"/>
        <v>Waycross</v>
      </c>
      <c r="K436" s="7" t="str">
        <f t="shared" si="67"/>
        <v xml:space="preserve">GA  </v>
      </c>
      <c r="L436" s="7" t="str">
        <f t="shared" si="68"/>
        <v xml:space="preserve">GA </v>
      </c>
      <c r="M436" s="7" t="str">
        <f t="shared" si="69"/>
        <v xml:space="preserve">GA </v>
      </c>
      <c r="N436" s="9">
        <f t="shared" si="70"/>
        <v>31.25</v>
      </c>
      <c r="O436" s="9">
        <f t="shared" si="71"/>
        <v>82.4</v>
      </c>
    </row>
    <row r="437" spans="1:15" x14ac:dyDescent="0.2">
      <c r="A437" s="4"/>
      <c r="H437" s="2" t="s">
        <v>2726</v>
      </c>
      <c r="J437" s="7"/>
      <c r="K437" s="7"/>
      <c r="L437" s="7"/>
      <c r="M437" s="7"/>
      <c r="N437" s="9"/>
      <c r="O437" s="9"/>
    </row>
    <row r="438" spans="1:15" x14ac:dyDescent="0.2">
      <c r="A438" s="1" t="s">
        <v>10</v>
      </c>
      <c r="H438" s="2" t="s">
        <v>2726</v>
      </c>
      <c r="J438" s="7"/>
      <c r="K438" s="7"/>
      <c r="L438" s="7"/>
      <c r="M438" s="7"/>
      <c r="N438" s="9"/>
      <c r="O438" s="9"/>
    </row>
    <row r="439" spans="1:15" x14ac:dyDescent="0.2">
      <c r="A439" s="4"/>
      <c r="H439" s="2" t="s">
        <v>2726</v>
      </c>
      <c r="J439" s="7"/>
      <c r="K439" s="7"/>
      <c r="L439" s="7"/>
      <c r="M439" s="7"/>
      <c r="N439" s="9"/>
      <c r="O439" s="9"/>
    </row>
    <row r="440" spans="1:15" x14ac:dyDescent="0.2">
      <c r="A440" s="1" t="s">
        <v>929</v>
      </c>
      <c r="B440" s="2">
        <v>21.53</v>
      </c>
      <c r="C440" s="2">
        <v>158.12</v>
      </c>
      <c r="D440" s="2" t="s">
        <v>930</v>
      </c>
      <c r="E440" s="2" t="s">
        <v>931</v>
      </c>
      <c r="H440" s="2" t="s">
        <v>3080</v>
      </c>
      <c r="J440" s="7" t="str">
        <f t="shared" si="66"/>
        <v>Barbers P</v>
      </c>
      <c r="K440" s="7" t="str">
        <f t="shared" si="67"/>
        <v xml:space="preserve">,HI </v>
      </c>
      <c r="L440" s="7" t="str">
        <f t="shared" ref="L440:L456" si="72">LEFT(K440,LEN(K440)-1)</f>
        <v>,HI</v>
      </c>
      <c r="M440" s="7" t="str">
        <f t="shared" ref="M440:M456" si="73">SUBSTITUTE(L440,",","")</f>
        <v>HI</v>
      </c>
      <c r="N440" s="9">
        <f t="shared" ref="N440:N456" si="74">B440</f>
        <v>21.53</v>
      </c>
      <c r="O440" s="9">
        <f t="shared" ref="O440:O456" si="75">C440</f>
        <v>158.12</v>
      </c>
    </row>
    <row r="441" spans="1:15" x14ac:dyDescent="0.2">
      <c r="A441" s="1" t="s">
        <v>929</v>
      </c>
      <c r="B441" s="2">
        <v>21.53</v>
      </c>
      <c r="C441" s="2">
        <v>158.12</v>
      </c>
      <c r="D441" s="2" t="s">
        <v>930</v>
      </c>
      <c r="E441" s="2" t="s">
        <v>931</v>
      </c>
      <c r="H441" s="2" t="s">
        <v>3080</v>
      </c>
      <c r="J441" s="7" t="str">
        <f t="shared" si="66"/>
        <v>Barbers P</v>
      </c>
      <c r="K441" s="7" t="str">
        <f t="shared" si="67"/>
        <v xml:space="preserve">,HI </v>
      </c>
      <c r="L441" s="7" t="str">
        <f t="shared" si="72"/>
        <v>,HI</v>
      </c>
      <c r="M441" s="7" t="str">
        <f t="shared" si="73"/>
        <v>HI</v>
      </c>
      <c r="N441" s="9">
        <f t="shared" si="74"/>
        <v>21.53</v>
      </c>
      <c r="O441" s="9">
        <f t="shared" si="75"/>
        <v>158.12</v>
      </c>
    </row>
    <row r="442" spans="1:15" x14ac:dyDescent="0.2">
      <c r="A442" s="1" t="s">
        <v>932</v>
      </c>
      <c r="B442" s="2">
        <v>22.05</v>
      </c>
      <c r="C442" s="2">
        <v>160.30000000000001</v>
      </c>
      <c r="D442" s="2" t="s">
        <v>933</v>
      </c>
      <c r="E442" s="2" t="s">
        <v>934</v>
      </c>
      <c r="H442" s="2" t="s">
        <v>3081</v>
      </c>
      <c r="J442" s="7" t="str">
        <f t="shared" si="66"/>
        <v>Barking Sa</v>
      </c>
      <c r="K442" s="7" t="str">
        <f t="shared" si="67"/>
        <v xml:space="preserve">,HI </v>
      </c>
      <c r="L442" s="7" t="str">
        <f t="shared" si="72"/>
        <v>,HI</v>
      </c>
      <c r="M442" s="7" t="str">
        <f t="shared" si="73"/>
        <v>HI</v>
      </c>
      <c r="N442" s="9">
        <f t="shared" si="74"/>
        <v>22.05</v>
      </c>
      <c r="O442" s="9">
        <f t="shared" si="75"/>
        <v>160.30000000000001</v>
      </c>
    </row>
    <row r="443" spans="1:15" x14ac:dyDescent="0.2">
      <c r="A443" s="1" t="s">
        <v>935</v>
      </c>
      <c r="B443" s="2">
        <v>24.45</v>
      </c>
      <c r="C443" s="2">
        <v>166.47</v>
      </c>
      <c r="D443" s="2" t="s">
        <v>936</v>
      </c>
      <c r="E443" s="2" t="s">
        <v>937</v>
      </c>
      <c r="H443" s="2" t="s">
        <v>3082</v>
      </c>
      <c r="J443" s="7" t="str">
        <f t="shared" si="66"/>
        <v>Fr Frigat</v>
      </c>
      <c r="K443" s="7" t="str">
        <f t="shared" si="67"/>
        <v xml:space="preserve">,HI </v>
      </c>
      <c r="L443" s="7" t="str">
        <f t="shared" si="72"/>
        <v>,HI</v>
      </c>
      <c r="M443" s="7" t="str">
        <f t="shared" si="73"/>
        <v>HI</v>
      </c>
      <c r="N443" s="9">
        <f t="shared" si="74"/>
        <v>24.45</v>
      </c>
      <c r="O443" s="9">
        <f t="shared" si="75"/>
        <v>166.47</v>
      </c>
    </row>
    <row r="444" spans="1:15" x14ac:dyDescent="0.2">
      <c r="A444" s="1" t="s">
        <v>938</v>
      </c>
      <c r="B444" s="2">
        <v>19.72</v>
      </c>
      <c r="C444" s="2">
        <v>155.07</v>
      </c>
      <c r="D444" s="2" t="s">
        <v>939</v>
      </c>
      <c r="H444" s="2" t="s">
        <v>3083</v>
      </c>
      <c r="J444" s="7" t="str">
        <f t="shared" si="66"/>
        <v>Hilo</v>
      </c>
      <c r="K444" s="7" t="str">
        <f t="shared" si="67"/>
        <v xml:space="preserve">HI  </v>
      </c>
      <c r="L444" s="7" t="str">
        <f t="shared" si="72"/>
        <v xml:space="preserve">HI </v>
      </c>
      <c r="M444" s="7" t="str">
        <f t="shared" si="73"/>
        <v xml:space="preserve">HI </v>
      </c>
      <c r="N444" s="9">
        <f t="shared" si="74"/>
        <v>19.72</v>
      </c>
      <c r="O444" s="9">
        <f t="shared" si="75"/>
        <v>155.07</v>
      </c>
    </row>
    <row r="445" spans="1:15" x14ac:dyDescent="0.2">
      <c r="A445" s="1" t="s">
        <v>940</v>
      </c>
      <c r="B445" s="2">
        <v>21.35</v>
      </c>
      <c r="C445" s="2">
        <v>157.93</v>
      </c>
      <c r="D445" s="2" t="s">
        <v>941</v>
      </c>
      <c r="E445" s="2" t="s">
        <v>942</v>
      </c>
      <c r="H445" s="2" t="s">
        <v>3084</v>
      </c>
      <c r="J445" s="7" t="str">
        <f t="shared" si="66"/>
        <v>Honolulu In</v>
      </c>
      <c r="K445" s="7" t="str">
        <f t="shared" si="67"/>
        <v xml:space="preserve">,HI </v>
      </c>
      <c r="L445" s="7" t="str">
        <f t="shared" si="72"/>
        <v>,HI</v>
      </c>
      <c r="M445" s="7" t="str">
        <f t="shared" si="73"/>
        <v>HI</v>
      </c>
      <c r="N445" s="9">
        <f t="shared" si="74"/>
        <v>21.35</v>
      </c>
      <c r="O445" s="9">
        <f t="shared" si="75"/>
        <v>157.93</v>
      </c>
    </row>
    <row r="446" spans="1:15" x14ac:dyDescent="0.2">
      <c r="A446" s="1" t="s">
        <v>943</v>
      </c>
      <c r="B446" s="2">
        <v>20.9</v>
      </c>
      <c r="C446" s="2">
        <v>156.43</v>
      </c>
      <c r="D446" s="2" t="s">
        <v>944</v>
      </c>
      <c r="E446" s="2" t="s">
        <v>945</v>
      </c>
      <c r="H446" s="2" t="s">
        <v>3085</v>
      </c>
      <c r="J446" s="7" t="str">
        <f t="shared" si="66"/>
        <v>Kahului Mau</v>
      </c>
      <c r="K446" s="7" t="str">
        <f t="shared" si="67"/>
        <v xml:space="preserve">,HI </v>
      </c>
      <c r="L446" s="7" t="str">
        <f t="shared" si="72"/>
        <v>,HI</v>
      </c>
      <c r="M446" s="7" t="str">
        <f t="shared" si="73"/>
        <v>HI</v>
      </c>
      <c r="N446" s="9">
        <f t="shared" si="74"/>
        <v>20.9</v>
      </c>
      <c r="O446" s="9">
        <f t="shared" si="75"/>
        <v>156.43</v>
      </c>
    </row>
    <row r="447" spans="1:15" x14ac:dyDescent="0.2">
      <c r="A447" s="1" t="s">
        <v>946</v>
      </c>
      <c r="B447" s="2">
        <v>21.75</v>
      </c>
      <c r="C447" s="2">
        <v>158.28</v>
      </c>
      <c r="D447" s="2" t="s">
        <v>947</v>
      </c>
      <c r="E447" s="2" t="s">
        <v>948</v>
      </c>
      <c r="H447" s="2" t="s">
        <v>3086</v>
      </c>
      <c r="J447" s="7" t="str">
        <f t="shared" si="66"/>
        <v>Kaneohe Mc</v>
      </c>
      <c r="K447" s="7" t="str">
        <f t="shared" si="67"/>
        <v xml:space="preserve">,HI </v>
      </c>
      <c r="L447" s="7" t="str">
        <f t="shared" si="72"/>
        <v>,HI</v>
      </c>
      <c r="M447" s="7" t="str">
        <f t="shared" si="73"/>
        <v>HI</v>
      </c>
      <c r="N447" s="9">
        <f t="shared" si="74"/>
        <v>21.75</v>
      </c>
      <c r="O447" s="9">
        <f t="shared" si="75"/>
        <v>158.28</v>
      </c>
    </row>
    <row r="448" spans="1:15" x14ac:dyDescent="0.2">
      <c r="A448" s="1" t="s">
        <v>946</v>
      </c>
      <c r="B448" s="2">
        <v>21.75</v>
      </c>
      <c r="C448" s="2">
        <v>158.28</v>
      </c>
      <c r="D448" s="2" t="s">
        <v>947</v>
      </c>
      <c r="E448" s="2" t="s">
        <v>948</v>
      </c>
      <c r="H448" s="2" t="s">
        <v>3086</v>
      </c>
      <c r="J448" s="7" t="str">
        <f t="shared" si="66"/>
        <v>Kaneohe Mc</v>
      </c>
      <c r="K448" s="7" t="str">
        <f t="shared" si="67"/>
        <v xml:space="preserve">,HI </v>
      </c>
      <c r="L448" s="7" t="str">
        <f t="shared" si="72"/>
        <v>,HI</v>
      </c>
      <c r="M448" s="7" t="str">
        <f t="shared" si="73"/>
        <v>HI</v>
      </c>
      <c r="N448" s="9">
        <f t="shared" si="74"/>
        <v>21.75</v>
      </c>
      <c r="O448" s="9">
        <f t="shared" si="75"/>
        <v>158.28</v>
      </c>
    </row>
    <row r="449" spans="1:15" x14ac:dyDescent="0.2">
      <c r="A449" s="1" t="s">
        <v>949</v>
      </c>
      <c r="B449" s="2">
        <v>19.75</v>
      </c>
      <c r="C449" s="2">
        <v>156.05000000000001</v>
      </c>
      <c r="D449" s="2" t="s">
        <v>950</v>
      </c>
      <c r="H449" s="2" t="s">
        <v>3087</v>
      </c>
      <c r="J449" s="7" t="str">
        <f t="shared" si="66"/>
        <v>Ke-Ahole/Kon</v>
      </c>
      <c r="K449" s="7" t="str">
        <f t="shared" si="67"/>
        <v xml:space="preserve">HI  </v>
      </c>
      <c r="L449" s="7" t="str">
        <f t="shared" si="72"/>
        <v xml:space="preserve">HI </v>
      </c>
      <c r="M449" s="7" t="str">
        <f t="shared" si="73"/>
        <v xml:space="preserve">HI </v>
      </c>
      <c r="N449" s="9">
        <f t="shared" si="74"/>
        <v>19.75</v>
      </c>
      <c r="O449" s="9">
        <f t="shared" si="75"/>
        <v>156.05000000000001</v>
      </c>
    </row>
    <row r="450" spans="1:15" x14ac:dyDescent="0.2">
      <c r="A450" s="1" t="s">
        <v>951</v>
      </c>
      <c r="B450" s="2">
        <v>22.38</v>
      </c>
      <c r="C450" s="2">
        <v>159.66999999999999</v>
      </c>
      <c r="D450" s="2" t="s">
        <v>952</v>
      </c>
      <c r="E450" s="2" t="s">
        <v>931</v>
      </c>
      <c r="H450" s="2" t="s">
        <v>3088</v>
      </c>
      <c r="J450" s="7" t="str">
        <f t="shared" si="66"/>
        <v>Kilauea P</v>
      </c>
      <c r="K450" s="7" t="str">
        <f t="shared" si="67"/>
        <v xml:space="preserve">,HI </v>
      </c>
      <c r="L450" s="7" t="str">
        <f t="shared" si="72"/>
        <v>,HI</v>
      </c>
      <c r="M450" s="7" t="str">
        <f t="shared" si="73"/>
        <v>HI</v>
      </c>
      <c r="N450" s="9">
        <f t="shared" si="74"/>
        <v>22.38</v>
      </c>
      <c r="O450" s="9">
        <f t="shared" si="75"/>
        <v>159.66999999999999</v>
      </c>
    </row>
    <row r="451" spans="1:15" x14ac:dyDescent="0.2">
      <c r="A451" s="1" t="s">
        <v>953</v>
      </c>
      <c r="B451" s="2">
        <v>20.8</v>
      </c>
      <c r="C451" s="2">
        <v>156.94999999999999</v>
      </c>
      <c r="D451" s="2" t="s">
        <v>954</v>
      </c>
      <c r="H451" s="2" t="s">
        <v>3089</v>
      </c>
      <c r="J451" s="7" t="str">
        <f t="shared" si="66"/>
        <v>Lanai-Lanai</v>
      </c>
      <c r="K451" s="7" t="str">
        <f t="shared" si="67"/>
        <v xml:space="preserve">HI  </v>
      </c>
      <c r="L451" s="7" t="str">
        <f t="shared" si="72"/>
        <v xml:space="preserve">HI </v>
      </c>
      <c r="M451" s="7" t="str">
        <f t="shared" si="73"/>
        <v xml:space="preserve">HI </v>
      </c>
      <c r="N451" s="9">
        <f t="shared" si="74"/>
        <v>20.8</v>
      </c>
      <c r="O451" s="9">
        <f t="shared" si="75"/>
        <v>156.94999999999999</v>
      </c>
    </row>
    <row r="452" spans="1:15" x14ac:dyDescent="0.2">
      <c r="A452" s="1" t="s">
        <v>955</v>
      </c>
      <c r="B452" s="2">
        <v>21.98</v>
      </c>
      <c r="C452" s="2">
        <v>159.35</v>
      </c>
      <c r="D452" s="2" t="s">
        <v>956</v>
      </c>
      <c r="H452" s="2" t="s">
        <v>3090</v>
      </c>
      <c r="J452" s="7" t="str">
        <f t="shared" si="66"/>
        <v>Lihue-Kauai</v>
      </c>
      <c r="K452" s="7" t="str">
        <f t="shared" si="67"/>
        <v xml:space="preserve">HI  </v>
      </c>
      <c r="L452" s="7" t="str">
        <f t="shared" si="72"/>
        <v xml:space="preserve">HI </v>
      </c>
      <c r="M452" s="7" t="str">
        <f t="shared" si="73"/>
        <v xml:space="preserve">HI </v>
      </c>
      <c r="N452" s="9">
        <f t="shared" si="74"/>
        <v>21.98</v>
      </c>
      <c r="O452" s="9">
        <f t="shared" si="75"/>
        <v>159.35</v>
      </c>
    </row>
    <row r="453" spans="1:15" x14ac:dyDescent="0.2">
      <c r="A453" s="1" t="s">
        <v>957</v>
      </c>
      <c r="B453" s="2">
        <v>20.97</v>
      </c>
      <c r="C453" s="2">
        <v>156.83000000000001</v>
      </c>
      <c r="D453" s="2" t="s">
        <v>945</v>
      </c>
      <c r="H453" s="2" t="s">
        <v>3091</v>
      </c>
      <c r="J453" s="7" t="str">
        <f t="shared" si="66"/>
        <v>Maui</v>
      </c>
      <c r="K453" s="7" t="str">
        <f t="shared" si="67"/>
        <v xml:space="preserve">HI  </v>
      </c>
      <c r="L453" s="7" t="str">
        <f t="shared" si="72"/>
        <v xml:space="preserve">HI </v>
      </c>
      <c r="M453" s="7" t="str">
        <f t="shared" si="73"/>
        <v xml:space="preserve">HI </v>
      </c>
      <c r="N453" s="9">
        <f t="shared" si="74"/>
        <v>20.97</v>
      </c>
      <c r="O453" s="9">
        <f t="shared" si="75"/>
        <v>156.83000000000001</v>
      </c>
    </row>
    <row r="454" spans="1:15" x14ac:dyDescent="0.2">
      <c r="A454" s="1" t="s">
        <v>958</v>
      </c>
      <c r="B454" s="2">
        <v>21.15</v>
      </c>
      <c r="C454" s="2">
        <v>157.1</v>
      </c>
      <c r="D454" s="2" t="s">
        <v>959</v>
      </c>
      <c r="H454" s="2" t="s">
        <v>3092</v>
      </c>
      <c r="J454" s="7" t="str">
        <f t="shared" si="66"/>
        <v>Molokai</v>
      </c>
      <c r="K454" s="7" t="str">
        <f t="shared" si="67"/>
        <v xml:space="preserve">HI  </v>
      </c>
      <c r="L454" s="7" t="str">
        <f t="shared" si="72"/>
        <v xml:space="preserve">HI </v>
      </c>
      <c r="M454" s="7" t="str">
        <f t="shared" si="73"/>
        <v xml:space="preserve">HI </v>
      </c>
      <c r="N454" s="9">
        <f t="shared" si="74"/>
        <v>21.15</v>
      </c>
      <c r="O454" s="9">
        <f t="shared" si="75"/>
        <v>157.1</v>
      </c>
    </row>
    <row r="455" spans="1:15" x14ac:dyDescent="0.2">
      <c r="A455" s="1" t="s">
        <v>960</v>
      </c>
      <c r="B455" s="2">
        <v>20.420000000000002</v>
      </c>
      <c r="C455" s="2">
        <v>156.47</v>
      </c>
      <c r="D455" s="2" t="s">
        <v>961</v>
      </c>
      <c r="E455" s="2" t="s">
        <v>280</v>
      </c>
      <c r="F455" s="2" t="s">
        <v>962</v>
      </c>
      <c r="H455" s="2" t="s">
        <v>3093</v>
      </c>
      <c r="J455" s="7" t="str">
        <f t="shared" si="66"/>
        <v xml:space="preserve">Upolo Pt </v>
      </c>
      <c r="K455" s="7" t="str">
        <f t="shared" si="67"/>
        <v>n,HI</v>
      </c>
      <c r="L455" s="7" t="str">
        <f t="shared" si="72"/>
        <v>n,H</v>
      </c>
      <c r="M455" s="7" t="str">
        <f t="shared" si="73"/>
        <v>nH</v>
      </c>
      <c r="N455" s="9">
        <f t="shared" si="74"/>
        <v>20.420000000000002</v>
      </c>
      <c r="O455" s="9">
        <f t="shared" si="75"/>
        <v>156.47</v>
      </c>
    </row>
    <row r="456" spans="1:15" x14ac:dyDescent="0.2">
      <c r="A456" s="1" t="s">
        <v>963</v>
      </c>
      <c r="B456" s="2">
        <v>20</v>
      </c>
      <c r="C456" s="2">
        <v>156.12</v>
      </c>
      <c r="D456" s="2" t="s">
        <v>964</v>
      </c>
      <c r="H456" s="2" t="s">
        <v>3094</v>
      </c>
      <c r="J456" s="7" t="str">
        <f t="shared" si="66"/>
        <v>Waimea-Koha</v>
      </c>
      <c r="K456" s="7" t="str">
        <f t="shared" si="67"/>
        <v xml:space="preserve">HI  </v>
      </c>
      <c r="L456" s="7" t="str">
        <f t="shared" si="72"/>
        <v xml:space="preserve">HI </v>
      </c>
      <c r="M456" s="7" t="str">
        <f t="shared" si="73"/>
        <v xml:space="preserve">HI </v>
      </c>
      <c r="N456" s="9">
        <f t="shared" si="74"/>
        <v>20</v>
      </c>
      <c r="O456" s="9">
        <f t="shared" si="75"/>
        <v>156.12</v>
      </c>
    </row>
    <row r="457" spans="1:15" x14ac:dyDescent="0.2">
      <c r="A457" s="4"/>
      <c r="H457" s="2" t="s">
        <v>2726</v>
      </c>
      <c r="J457" s="7"/>
      <c r="K457" s="7"/>
      <c r="L457" s="7"/>
      <c r="M457" s="7"/>
      <c r="N457" s="9"/>
      <c r="O457" s="9"/>
    </row>
    <row r="458" spans="1:15" x14ac:dyDescent="0.2">
      <c r="A458" s="1" t="s">
        <v>11</v>
      </c>
      <c r="H458" s="2" t="s">
        <v>2726</v>
      </c>
      <c r="J458" s="7"/>
      <c r="K458" s="7"/>
      <c r="L458" s="7"/>
      <c r="M458" s="7"/>
      <c r="N458" s="9"/>
      <c r="O458" s="9"/>
    </row>
    <row r="459" spans="1:15" x14ac:dyDescent="0.2">
      <c r="A459" s="4"/>
      <c r="H459" s="2" t="s">
        <v>2726</v>
      </c>
      <c r="J459" s="7"/>
      <c r="K459" s="7"/>
      <c r="L459" s="7"/>
      <c r="M459" s="7"/>
      <c r="N459" s="9"/>
      <c r="O459" s="9"/>
    </row>
    <row r="460" spans="1:15" x14ac:dyDescent="0.2">
      <c r="A460" s="1" t="s">
        <v>965</v>
      </c>
      <c r="B460" s="2">
        <v>43.57</v>
      </c>
      <c r="C460" s="2">
        <v>116.22</v>
      </c>
      <c r="D460" s="2" t="s">
        <v>966</v>
      </c>
      <c r="H460" s="2" t="s">
        <v>3095</v>
      </c>
      <c r="J460" s="7" t="str">
        <f t="shared" si="66"/>
        <v>Boise</v>
      </c>
      <c r="K460" s="7" t="str">
        <f t="shared" si="67"/>
        <v xml:space="preserve">ID  </v>
      </c>
      <c r="L460" s="7" t="str">
        <f t="shared" ref="L460:L479" si="76">LEFT(K460,LEN(K460)-1)</f>
        <v xml:space="preserve">ID </v>
      </c>
      <c r="M460" s="7" t="str">
        <f t="shared" ref="M460:M479" si="77">SUBSTITUTE(L460,",","")</f>
        <v xml:space="preserve">ID </v>
      </c>
      <c r="N460" s="9">
        <f t="shared" ref="N460:N479" si="78">B460</f>
        <v>43.57</v>
      </c>
      <c r="O460" s="9">
        <f t="shared" ref="O460:O479" si="79">C460</f>
        <v>116.22</v>
      </c>
    </row>
    <row r="461" spans="1:15" x14ac:dyDescent="0.2">
      <c r="A461" s="1" t="s">
        <v>967</v>
      </c>
      <c r="B461" s="2">
        <v>42.53</v>
      </c>
      <c r="C461" s="2">
        <v>113.77</v>
      </c>
      <c r="D461" s="2" t="s">
        <v>968</v>
      </c>
      <c r="H461" s="2" t="s">
        <v>3096</v>
      </c>
      <c r="J461" s="7" t="str">
        <f t="shared" si="66"/>
        <v>Burley</v>
      </c>
      <c r="K461" s="7" t="str">
        <f t="shared" si="67"/>
        <v xml:space="preserve">ID  </v>
      </c>
      <c r="L461" s="7" t="str">
        <f t="shared" si="76"/>
        <v xml:space="preserve">ID </v>
      </c>
      <c r="M461" s="7" t="str">
        <f t="shared" si="77"/>
        <v xml:space="preserve">ID </v>
      </c>
      <c r="N461" s="9">
        <f t="shared" si="78"/>
        <v>42.53</v>
      </c>
      <c r="O461" s="9">
        <f t="shared" si="79"/>
        <v>113.77</v>
      </c>
    </row>
    <row r="462" spans="1:15" x14ac:dyDescent="0.2">
      <c r="A462" s="1" t="s">
        <v>969</v>
      </c>
      <c r="B462" s="2">
        <v>44.52</v>
      </c>
      <c r="C462" s="2">
        <v>114.22</v>
      </c>
      <c r="D462" s="2" t="s">
        <v>970</v>
      </c>
      <c r="H462" s="2" t="s">
        <v>3097</v>
      </c>
      <c r="J462" s="7" t="str">
        <f t="shared" si="66"/>
        <v>Challis</v>
      </c>
      <c r="K462" s="7" t="str">
        <f t="shared" si="67"/>
        <v xml:space="preserve">ID  </v>
      </c>
      <c r="L462" s="7" t="str">
        <f t="shared" si="76"/>
        <v xml:space="preserve">ID </v>
      </c>
      <c r="M462" s="7" t="str">
        <f t="shared" si="77"/>
        <v xml:space="preserve">ID </v>
      </c>
      <c r="N462" s="9">
        <f t="shared" si="78"/>
        <v>44.52</v>
      </c>
      <c r="O462" s="9">
        <f t="shared" si="79"/>
        <v>114.22</v>
      </c>
    </row>
    <row r="463" spans="1:15" x14ac:dyDescent="0.2">
      <c r="A463" s="1" t="s">
        <v>971</v>
      </c>
      <c r="B463" s="2">
        <v>47.77</v>
      </c>
      <c r="C463" s="2">
        <v>116.82</v>
      </c>
      <c r="D463" s="2" t="s">
        <v>972</v>
      </c>
      <c r="E463" s="2" t="s">
        <v>973</v>
      </c>
      <c r="H463" s="2" t="s">
        <v>3098</v>
      </c>
      <c r="J463" s="7" t="str">
        <f t="shared" si="66"/>
        <v>Coeur d'Alen</v>
      </c>
      <c r="K463" s="7" t="str">
        <f t="shared" si="67"/>
        <v xml:space="preserve">,ID </v>
      </c>
      <c r="L463" s="7" t="str">
        <f t="shared" si="76"/>
        <v>,ID</v>
      </c>
      <c r="M463" s="7" t="str">
        <f t="shared" si="77"/>
        <v>ID</v>
      </c>
      <c r="N463" s="9">
        <f t="shared" si="78"/>
        <v>47.77</v>
      </c>
      <c r="O463" s="9">
        <f t="shared" si="79"/>
        <v>116.82</v>
      </c>
    </row>
    <row r="464" spans="1:15" x14ac:dyDescent="0.2">
      <c r="A464" s="1" t="s">
        <v>974</v>
      </c>
      <c r="B464" s="2">
        <v>45.82</v>
      </c>
      <c r="C464" s="2">
        <v>115.43</v>
      </c>
      <c r="D464" s="2" t="s">
        <v>975</v>
      </c>
      <c r="E464" s="2" t="s">
        <v>976</v>
      </c>
      <c r="H464" s="2" t="s">
        <v>3099</v>
      </c>
      <c r="J464" s="7" t="str">
        <f t="shared" si="66"/>
        <v>Elk Cit</v>
      </c>
      <c r="K464" s="7" t="str">
        <f t="shared" si="67"/>
        <v xml:space="preserve">,ID </v>
      </c>
      <c r="L464" s="7" t="str">
        <f t="shared" si="76"/>
        <v>,ID</v>
      </c>
      <c r="M464" s="7" t="str">
        <f t="shared" si="77"/>
        <v>ID</v>
      </c>
      <c r="N464" s="9">
        <f t="shared" si="78"/>
        <v>45.82</v>
      </c>
      <c r="O464" s="9">
        <f t="shared" si="79"/>
        <v>115.43</v>
      </c>
    </row>
    <row r="465" spans="1:15" x14ac:dyDescent="0.2">
      <c r="A465" s="1" t="s">
        <v>977</v>
      </c>
      <c r="B465" s="2">
        <v>43</v>
      </c>
      <c r="C465" s="2">
        <v>115.17</v>
      </c>
      <c r="D465" s="2" t="s">
        <v>978</v>
      </c>
      <c r="H465" s="2" t="s">
        <v>3100</v>
      </c>
      <c r="J465" s="7" t="str">
        <f t="shared" si="66"/>
        <v>Gooding</v>
      </c>
      <c r="K465" s="7" t="str">
        <f t="shared" si="67"/>
        <v xml:space="preserve">ID  </v>
      </c>
      <c r="L465" s="7" t="str">
        <f t="shared" si="76"/>
        <v xml:space="preserve">ID </v>
      </c>
      <c r="M465" s="7" t="str">
        <f t="shared" si="77"/>
        <v xml:space="preserve">ID </v>
      </c>
      <c r="N465" s="9">
        <f t="shared" si="78"/>
        <v>43</v>
      </c>
      <c r="O465" s="9">
        <f t="shared" si="79"/>
        <v>115.17</v>
      </c>
    </row>
    <row r="466" spans="1:15" x14ac:dyDescent="0.2">
      <c r="A466" s="1" t="s">
        <v>979</v>
      </c>
      <c r="B466" s="2">
        <v>45.92</v>
      </c>
      <c r="C466" s="2">
        <v>116.13</v>
      </c>
      <c r="D466" s="2" t="s">
        <v>980</v>
      </c>
      <c r="H466" s="2" t="s">
        <v>3101</v>
      </c>
      <c r="J466" s="7" t="str">
        <f t="shared" si="66"/>
        <v>Grangeville</v>
      </c>
      <c r="K466" s="7" t="str">
        <f t="shared" si="67"/>
        <v xml:space="preserve">ID  </v>
      </c>
      <c r="L466" s="7" t="str">
        <f t="shared" si="76"/>
        <v xml:space="preserve">ID </v>
      </c>
      <c r="M466" s="7" t="str">
        <f t="shared" si="77"/>
        <v xml:space="preserve">ID </v>
      </c>
      <c r="N466" s="9">
        <f t="shared" si="78"/>
        <v>45.92</v>
      </c>
      <c r="O466" s="9">
        <f t="shared" si="79"/>
        <v>116.13</v>
      </c>
    </row>
    <row r="467" spans="1:15" x14ac:dyDescent="0.2">
      <c r="A467" s="1" t="s">
        <v>981</v>
      </c>
      <c r="B467" s="2">
        <v>43.52</v>
      </c>
      <c r="C467" s="2">
        <v>112.07</v>
      </c>
      <c r="D467" s="2" t="s">
        <v>11</v>
      </c>
      <c r="E467" s="2" t="s">
        <v>982</v>
      </c>
      <c r="H467" s="2" t="s">
        <v>3102</v>
      </c>
      <c r="J467" s="7" t="str">
        <f t="shared" si="66"/>
        <v>Idaho Fall</v>
      </c>
      <c r="K467" s="7" t="str">
        <f t="shared" si="67"/>
        <v xml:space="preserve">,ID </v>
      </c>
      <c r="L467" s="7" t="str">
        <f t="shared" si="76"/>
        <v>,ID</v>
      </c>
      <c r="M467" s="7" t="str">
        <f t="shared" si="77"/>
        <v>ID</v>
      </c>
      <c r="N467" s="9">
        <f t="shared" si="78"/>
        <v>43.52</v>
      </c>
      <c r="O467" s="9">
        <f t="shared" si="79"/>
        <v>112.07</v>
      </c>
    </row>
    <row r="468" spans="1:15" x14ac:dyDescent="0.2">
      <c r="A468" s="1" t="s">
        <v>983</v>
      </c>
      <c r="B468" s="2">
        <v>46.38</v>
      </c>
      <c r="C468" s="2">
        <v>117.02</v>
      </c>
      <c r="D468" s="2" t="s">
        <v>984</v>
      </c>
      <c r="H468" s="2" t="s">
        <v>3103</v>
      </c>
      <c r="J468" s="7" t="str">
        <f t="shared" si="66"/>
        <v>Lewiston</v>
      </c>
      <c r="K468" s="7" t="str">
        <f t="shared" si="67"/>
        <v xml:space="preserve">ID  </v>
      </c>
      <c r="L468" s="7" t="str">
        <f t="shared" si="76"/>
        <v xml:space="preserve">ID </v>
      </c>
      <c r="M468" s="7" t="str">
        <f t="shared" si="77"/>
        <v xml:space="preserve">ID </v>
      </c>
      <c r="N468" s="9">
        <f t="shared" si="78"/>
        <v>46.38</v>
      </c>
      <c r="O468" s="9">
        <f t="shared" si="79"/>
        <v>117.02</v>
      </c>
    </row>
    <row r="469" spans="1:15" x14ac:dyDescent="0.2">
      <c r="A469" s="1" t="s">
        <v>985</v>
      </c>
      <c r="B469" s="2">
        <v>42.17</v>
      </c>
      <c r="C469" s="2">
        <v>112.32</v>
      </c>
      <c r="D469" s="2" t="s">
        <v>986</v>
      </c>
      <c r="E469" s="2" t="s">
        <v>976</v>
      </c>
      <c r="H469" s="2" t="s">
        <v>3104</v>
      </c>
      <c r="J469" s="7" t="str">
        <f t="shared" si="66"/>
        <v>Malad Cit</v>
      </c>
      <c r="K469" s="7" t="str">
        <f t="shared" si="67"/>
        <v xml:space="preserve">,ID </v>
      </c>
      <c r="L469" s="7" t="str">
        <f t="shared" si="76"/>
        <v>,ID</v>
      </c>
      <c r="M469" s="7" t="str">
        <f t="shared" si="77"/>
        <v>ID</v>
      </c>
      <c r="N469" s="9">
        <f t="shared" si="78"/>
        <v>42.17</v>
      </c>
      <c r="O469" s="9">
        <f t="shared" si="79"/>
        <v>112.32</v>
      </c>
    </row>
    <row r="470" spans="1:15" x14ac:dyDescent="0.2">
      <c r="A470" s="1" t="s">
        <v>987</v>
      </c>
      <c r="B470" s="2">
        <v>42.3</v>
      </c>
      <c r="C470" s="2">
        <v>113.37</v>
      </c>
      <c r="D470" s="2" t="s">
        <v>988</v>
      </c>
      <c r="H470" s="2" t="s">
        <v>3105</v>
      </c>
      <c r="J470" s="7" t="str">
        <f t="shared" ref="J470:J533" si="80">LEFT(H470,LEN(H470)-5)</f>
        <v>Malta</v>
      </c>
      <c r="K470" s="7" t="str">
        <f t="shared" ref="K470:K533" si="81">RIGHT(H470,4)</f>
        <v xml:space="preserve">ID  </v>
      </c>
      <c r="L470" s="7" t="str">
        <f t="shared" si="76"/>
        <v xml:space="preserve">ID </v>
      </c>
      <c r="M470" s="7" t="str">
        <f t="shared" si="77"/>
        <v xml:space="preserve">ID </v>
      </c>
      <c r="N470" s="9">
        <f t="shared" si="78"/>
        <v>42.3</v>
      </c>
      <c r="O470" s="9">
        <f t="shared" si="79"/>
        <v>113.37</v>
      </c>
    </row>
    <row r="471" spans="1:15" x14ac:dyDescent="0.2">
      <c r="A471" s="1" t="s">
        <v>989</v>
      </c>
      <c r="B471" s="2">
        <v>44.88</v>
      </c>
      <c r="C471" s="2">
        <v>116.1</v>
      </c>
      <c r="D471" s="2" t="s">
        <v>990</v>
      </c>
      <c r="H471" s="2" t="s">
        <v>3106</v>
      </c>
      <c r="J471" s="7" t="str">
        <f t="shared" si="80"/>
        <v>Mccall</v>
      </c>
      <c r="K471" s="7" t="str">
        <f t="shared" si="81"/>
        <v xml:space="preserve">ID  </v>
      </c>
      <c r="L471" s="7" t="str">
        <f t="shared" si="76"/>
        <v xml:space="preserve">ID </v>
      </c>
      <c r="M471" s="7" t="str">
        <f t="shared" si="77"/>
        <v xml:space="preserve">ID </v>
      </c>
      <c r="N471" s="9">
        <f t="shared" si="78"/>
        <v>44.88</v>
      </c>
      <c r="O471" s="9">
        <f t="shared" si="79"/>
        <v>116.1</v>
      </c>
    </row>
    <row r="472" spans="1:15" x14ac:dyDescent="0.2">
      <c r="A472" s="1" t="s">
        <v>991</v>
      </c>
      <c r="B472" s="2">
        <v>43.05</v>
      </c>
      <c r="C472" s="2">
        <v>115.87</v>
      </c>
      <c r="D472" s="2" t="s">
        <v>992</v>
      </c>
      <c r="E472" s="2" t="s">
        <v>993</v>
      </c>
      <c r="H472" s="2" t="s">
        <v>3107</v>
      </c>
      <c r="J472" s="7" t="str">
        <f t="shared" si="80"/>
        <v>Mountn Hom</v>
      </c>
      <c r="K472" s="7" t="str">
        <f t="shared" si="81"/>
        <v xml:space="preserve">,ID </v>
      </c>
      <c r="L472" s="7" t="str">
        <f t="shared" si="76"/>
        <v>,ID</v>
      </c>
      <c r="M472" s="7" t="str">
        <f t="shared" si="77"/>
        <v>ID</v>
      </c>
      <c r="N472" s="9">
        <f t="shared" si="78"/>
        <v>43.05</v>
      </c>
      <c r="O472" s="9">
        <f t="shared" si="79"/>
        <v>115.87</v>
      </c>
    </row>
    <row r="473" spans="1:15" x14ac:dyDescent="0.2">
      <c r="A473" s="1" t="s">
        <v>994</v>
      </c>
      <c r="B473" s="2">
        <v>47.47</v>
      </c>
      <c r="C473" s="2">
        <v>115.8</v>
      </c>
      <c r="D473" s="2" t="s">
        <v>995</v>
      </c>
      <c r="H473" s="2" t="s">
        <v>3108</v>
      </c>
      <c r="J473" s="7" t="str">
        <f t="shared" si="80"/>
        <v>Mullan</v>
      </c>
      <c r="K473" s="7" t="str">
        <f t="shared" si="81"/>
        <v xml:space="preserve">ID  </v>
      </c>
      <c r="L473" s="7" t="str">
        <f t="shared" si="76"/>
        <v xml:space="preserve">ID </v>
      </c>
      <c r="M473" s="7" t="str">
        <f t="shared" si="77"/>
        <v xml:space="preserve">ID </v>
      </c>
      <c r="N473" s="9">
        <f t="shared" si="78"/>
        <v>47.47</v>
      </c>
      <c r="O473" s="9">
        <f t="shared" si="79"/>
        <v>115.8</v>
      </c>
    </row>
    <row r="474" spans="1:15" x14ac:dyDescent="0.2">
      <c r="A474" s="1" t="s">
        <v>996</v>
      </c>
      <c r="B474" s="2">
        <v>42.92</v>
      </c>
      <c r="C474" s="2">
        <v>112.6</v>
      </c>
      <c r="D474" s="2" t="s">
        <v>997</v>
      </c>
      <c r="H474" s="2" t="s">
        <v>3109</v>
      </c>
      <c r="J474" s="7" t="str">
        <f t="shared" si="80"/>
        <v>Pocatello</v>
      </c>
      <c r="K474" s="7" t="str">
        <f t="shared" si="81"/>
        <v xml:space="preserve">ID  </v>
      </c>
      <c r="L474" s="7" t="str">
        <f t="shared" si="76"/>
        <v xml:space="preserve">ID </v>
      </c>
      <c r="M474" s="7" t="str">
        <f t="shared" si="77"/>
        <v xml:space="preserve">ID </v>
      </c>
      <c r="N474" s="9">
        <f t="shared" si="78"/>
        <v>42.92</v>
      </c>
      <c r="O474" s="9">
        <f t="shared" si="79"/>
        <v>112.6</v>
      </c>
    </row>
    <row r="475" spans="1:15" x14ac:dyDescent="0.2">
      <c r="A475" s="1" t="s">
        <v>998</v>
      </c>
      <c r="B475" s="2">
        <v>45.18</v>
      </c>
      <c r="C475" s="2">
        <v>113.9</v>
      </c>
      <c r="D475" s="2" t="s">
        <v>999</v>
      </c>
      <c r="H475" s="2" t="s">
        <v>3110</v>
      </c>
      <c r="J475" s="7" t="str">
        <f t="shared" si="80"/>
        <v>Salmon</v>
      </c>
      <c r="K475" s="7" t="str">
        <f t="shared" si="81"/>
        <v xml:space="preserve">ID  </v>
      </c>
      <c r="L475" s="7" t="str">
        <f t="shared" si="76"/>
        <v xml:space="preserve">ID </v>
      </c>
      <c r="M475" s="7" t="str">
        <f t="shared" si="77"/>
        <v xml:space="preserve">ID </v>
      </c>
      <c r="N475" s="9">
        <f t="shared" si="78"/>
        <v>45.18</v>
      </c>
      <c r="O475" s="9">
        <f t="shared" si="79"/>
        <v>113.9</v>
      </c>
    </row>
    <row r="476" spans="1:15" x14ac:dyDescent="0.2">
      <c r="A476" s="1" t="s">
        <v>1000</v>
      </c>
      <c r="B476" s="2">
        <v>45.17</v>
      </c>
      <c r="C476" s="2">
        <v>114.47</v>
      </c>
      <c r="D476" s="2" t="s">
        <v>999</v>
      </c>
      <c r="H476" s="2" t="s">
        <v>3110</v>
      </c>
      <c r="J476" s="7" t="str">
        <f t="shared" si="80"/>
        <v>Salmon</v>
      </c>
      <c r="K476" s="7" t="str">
        <f t="shared" si="81"/>
        <v xml:space="preserve">ID  </v>
      </c>
      <c r="L476" s="7" t="str">
        <f t="shared" si="76"/>
        <v xml:space="preserve">ID </v>
      </c>
      <c r="M476" s="7" t="str">
        <f t="shared" si="77"/>
        <v xml:space="preserve">ID </v>
      </c>
      <c r="N476" s="9">
        <f t="shared" si="78"/>
        <v>45.17</v>
      </c>
      <c r="O476" s="9">
        <f t="shared" si="79"/>
        <v>114.47</v>
      </c>
    </row>
    <row r="477" spans="1:15" x14ac:dyDescent="0.2">
      <c r="A477" s="1" t="s">
        <v>1001</v>
      </c>
      <c r="B477" s="2">
        <v>42.65</v>
      </c>
      <c r="C477" s="2">
        <v>111.58</v>
      </c>
      <c r="D477" s="2" t="s">
        <v>1002</v>
      </c>
      <c r="E477" s="2" t="s">
        <v>1003</v>
      </c>
      <c r="H477" s="2" t="s">
        <v>3111</v>
      </c>
      <c r="J477" s="7" t="str">
        <f t="shared" si="80"/>
        <v>Soda Spring</v>
      </c>
      <c r="K477" s="7" t="str">
        <f t="shared" si="81"/>
        <v xml:space="preserve">,ID </v>
      </c>
      <c r="L477" s="7" t="str">
        <f t="shared" si="76"/>
        <v>,ID</v>
      </c>
      <c r="M477" s="7" t="str">
        <f t="shared" si="77"/>
        <v>ID</v>
      </c>
      <c r="N477" s="9">
        <f t="shared" si="78"/>
        <v>42.65</v>
      </c>
      <c r="O477" s="9">
        <f t="shared" si="79"/>
        <v>111.58</v>
      </c>
    </row>
    <row r="478" spans="1:15" x14ac:dyDescent="0.2">
      <c r="A478" s="1" t="s">
        <v>1004</v>
      </c>
      <c r="B478" s="2">
        <v>43.5</v>
      </c>
      <c r="C478" s="2">
        <v>114.3</v>
      </c>
      <c r="D478" s="2" t="s">
        <v>1005</v>
      </c>
      <c r="E478" s="2" t="s">
        <v>1006</v>
      </c>
      <c r="H478" s="2" t="s">
        <v>3112</v>
      </c>
      <c r="J478" s="7" t="str">
        <f t="shared" si="80"/>
        <v>Sun Valle</v>
      </c>
      <c r="K478" s="7" t="str">
        <f t="shared" si="81"/>
        <v xml:space="preserve">,ID </v>
      </c>
      <c r="L478" s="7" t="str">
        <f t="shared" si="76"/>
        <v>,ID</v>
      </c>
      <c r="M478" s="7" t="str">
        <f t="shared" si="77"/>
        <v>ID</v>
      </c>
      <c r="N478" s="9">
        <f t="shared" si="78"/>
        <v>43.5</v>
      </c>
      <c r="O478" s="9">
        <f t="shared" si="79"/>
        <v>114.3</v>
      </c>
    </row>
    <row r="479" spans="1:15" x14ac:dyDescent="0.2">
      <c r="A479" s="1" t="s">
        <v>1007</v>
      </c>
      <c r="B479" s="2">
        <v>42.48</v>
      </c>
      <c r="C479" s="2">
        <v>114.48</v>
      </c>
      <c r="D479" s="2" t="s">
        <v>1008</v>
      </c>
      <c r="E479" s="2" t="s">
        <v>982</v>
      </c>
      <c r="H479" s="2" t="s">
        <v>3113</v>
      </c>
      <c r="J479" s="7" t="str">
        <f t="shared" si="80"/>
        <v>Twin Fall</v>
      </c>
      <c r="K479" s="7" t="str">
        <f t="shared" si="81"/>
        <v xml:space="preserve">,ID </v>
      </c>
      <c r="L479" s="7" t="str">
        <f t="shared" si="76"/>
        <v>,ID</v>
      </c>
      <c r="M479" s="7" t="str">
        <f t="shared" si="77"/>
        <v>ID</v>
      </c>
      <c r="N479" s="9">
        <f t="shared" si="78"/>
        <v>42.48</v>
      </c>
      <c r="O479" s="9">
        <f t="shared" si="79"/>
        <v>114.48</v>
      </c>
    </row>
    <row r="480" spans="1:15" x14ac:dyDescent="0.2">
      <c r="A480" s="4"/>
      <c r="H480" s="2" t="s">
        <v>2726</v>
      </c>
      <c r="J480" s="7"/>
      <c r="K480" s="7"/>
      <c r="L480" s="7"/>
      <c r="M480" s="7"/>
      <c r="N480" s="9"/>
      <c r="O480" s="9"/>
    </row>
    <row r="481" spans="1:15" x14ac:dyDescent="0.2">
      <c r="A481" s="1" t="s">
        <v>12</v>
      </c>
      <c r="H481" s="2" t="s">
        <v>2726</v>
      </c>
      <c r="J481" s="7"/>
      <c r="K481" s="7"/>
      <c r="L481" s="7"/>
      <c r="M481" s="7"/>
      <c r="N481" s="9"/>
      <c r="O481" s="9"/>
    </row>
    <row r="482" spans="1:15" x14ac:dyDescent="0.2">
      <c r="A482" s="4"/>
      <c r="H482" s="2" t="s">
        <v>2726</v>
      </c>
      <c r="J482" s="7"/>
      <c r="K482" s="7"/>
      <c r="L482" s="7"/>
      <c r="M482" s="7"/>
      <c r="N482" s="9"/>
      <c r="O482" s="9"/>
    </row>
    <row r="483" spans="1:15" x14ac:dyDescent="0.2">
      <c r="A483" s="1" t="s">
        <v>1009</v>
      </c>
      <c r="B483" s="2">
        <v>38.880000000000003</v>
      </c>
      <c r="C483" s="2">
        <v>90.05</v>
      </c>
      <c r="D483" s="2" t="s">
        <v>1010</v>
      </c>
      <c r="H483" s="2" t="s">
        <v>3114</v>
      </c>
      <c r="J483" s="7" t="str">
        <f t="shared" si="80"/>
        <v>Alton</v>
      </c>
      <c r="K483" s="7" t="str">
        <f t="shared" si="81"/>
        <v xml:space="preserve">IL  </v>
      </c>
      <c r="L483" s="7" t="str">
        <f t="shared" ref="L483:L517" si="82">LEFT(K483,LEN(K483)-1)</f>
        <v xml:space="preserve">IL </v>
      </c>
      <c r="M483" s="7" t="str">
        <f t="shared" ref="M483:M517" si="83">SUBSTITUTE(L483,",","")</f>
        <v xml:space="preserve">IL </v>
      </c>
      <c r="N483" s="9">
        <f t="shared" ref="N483:N517" si="84">B483</f>
        <v>38.880000000000003</v>
      </c>
      <c r="O483" s="9">
        <f t="shared" ref="O483:O517" si="85">C483</f>
        <v>90.05</v>
      </c>
    </row>
    <row r="484" spans="1:15" x14ac:dyDescent="0.2">
      <c r="A484" s="1" t="s">
        <v>1011</v>
      </c>
      <c r="B484" s="2">
        <v>41.77</v>
      </c>
      <c r="C484" s="2">
        <v>88.32</v>
      </c>
      <c r="D484" s="2" t="s">
        <v>1012</v>
      </c>
      <c r="H484" s="2" t="s">
        <v>3115</v>
      </c>
      <c r="J484" s="7" t="str">
        <f t="shared" si="80"/>
        <v>Aurora</v>
      </c>
      <c r="K484" s="7" t="str">
        <f t="shared" si="81"/>
        <v xml:space="preserve">IL  </v>
      </c>
      <c r="L484" s="7" t="str">
        <f t="shared" si="82"/>
        <v xml:space="preserve">IL </v>
      </c>
      <c r="M484" s="7" t="str">
        <f t="shared" si="83"/>
        <v xml:space="preserve">IL </v>
      </c>
      <c r="N484" s="9">
        <f t="shared" si="84"/>
        <v>41.77</v>
      </c>
      <c r="O484" s="9">
        <f t="shared" si="85"/>
        <v>88.32</v>
      </c>
    </row>
    <row r="485" spans="1:15" x14ac:dyDescent="0.2">
      <c r="A485" s="1" t="s">
        <v>1013</v>
      </c>
      <c r="B485" s="2">
        <v>38.57</v>
      </c>
      <c r="C485" s="2">
        <v>90.15</v>
      </c>
      <c r="D485" s="2" t="s">
        <v>1014</v>
      </c>
      <c r="E485" s="2" t="s">
        <v>1015</v>
      </c>
      <c r="H485" s="2" t="s">
        <v>3116</v>
      </c>
      <c r="J485" s="7" t="str">
        <f t="shared" si="80"/>
        <v>Bistate Par</v>
      </c>
      <c r="K485" s="7" t="str">
        <f t="shared" si="81"/>
        <v xml:space="preserve">,IL </v>
      </c>
      <c r="L485" s="7" t="str">
        <f t="shared" si="82"/>
        <v>,IL</v>
      </c>
      <c r="M485" s="7" t="str">
        <f t="shared" si="83"/>
        <v>IL</v>
      </c>
      <c r="N485" s="9">
        <f t="shared" si="84"/>
        <v>38.57</v>
      </c>
      <c r="O485" s="9">
        <f t="shared" si="85"/>
        <v>90.15</v>
      </c>
    </row>
    <row r="486" spans="1:15" x14ac:dyDescent="0.2">
      <c r="A486" s="1" t="s">
        <v>1016</v>
      </c>
      <c r="B486" s="2">
        <v>40.479999999999997</v>
      </c>
      <c r="C486" s="2">
        <v>88.93</v>
      </c>
      <c r="D486" s="2" t="s">
        <v>1017</v>
      </c>
      <c r="H486" s="2" t="s">
        <v>3117</v>
      </c>
      <c r="J486" s="7" t="str">
        <f t="shared" si="80"/>
        <v>Bloomington</v>
      </c>
      <c r="K486" s="7" t="str">
        <f t="shared" si="81"/>
        <v xml:space="preserve">IL  </v>
      </c>
      <c r="L486" s="7" t="str">
        <f t="shared" si="82"/>
        <v xml:space="preserve">IL </v>
      </c>
      <c r="M486" s="7" t="str">
        <f t="shared" si="83"/>
        <v xml:space="preserve">IL </v>
      </c>
      <c r="N486" s="9">
        <f t="shared" si="84"/>
        <v>40.479999999999997</v>
      </c>
      <c r="O486" s="9">
        <f t="shared" si="85"/>
        <v>88.93</v>
      </c>
    </row>
    <row r="487" spans="1:15" x14ac:dyDescent="0.2">
      <c r="A487" s="1" t="s">
        <v>1018</v>
      </c>
      <c r="B487" s="2">
        <v>41.16</v>
      </c>
      <c r="C487" s="2">
        <v>89.6</v>
      </c>
      <c r="D487" s="2" t="s">
        <v>1019</v>
      </c>
      <c r="H487" s="2" t="s">
        <v>3118</v>
      </c>
      <c r="J487" s="7" t="str">
        <f t="shared" si="80"/>
        <v>Bradford</v>
      </c>
      <c r="K487" s="7" t="str">
        <f t="shared" si="81"/>
        <v xml:space="preserve">IL  </v>
      </c>
      <c r="L487" s="7" t="str">
        <f t="shared" si="82"/>
        <v xml:space="preserve">IL </v>
      </c>
      <c r="M487" s="7" t="str">
        <f t="shared" si="83"/>
        <v xml:space="preserve">IL </v>
      </c>
      <c r="N487" s="9">
        <f t="shared" si="84"/>
        <v>41.16</v>
      </c>
      <c r="O487" s="9">
        <f t="shared" si="85"/>
        <v>89.6</v>
      </c>
    </row>
    <row r="488" spans="1:15" x14ac:dyDescent="0.2">
      <c r="A488" s="1" t="s">
        <v>1020</v>
      </c>
      <c r="B488" s="2">
        <v>37.07</v>
      </c>
      <c r="C488" s="2">
        <v>89.22</v>
      </c>
      <c r="D488" s="2" t="s">
        <v>1021</v>
      </c>
      <c r="H488" s="2" t="s">
        <v>3119</v>
      </c>
      <c r="J488" s="7" t="str">
        <f t="shared" si="80"/>
        <v>Cairo</v>
      </c>
      <c r="K488" s="7" t="str">
        <f t="shared" si="81"/>
        <v xml:space="preserve">IL  </v>
      </c>
      <c r="L488" s="7" t="str">
        <f t="shared" si="82"/>
        <v xml:space="preserve">IL </v>
      </c>
      <c r="M488" s="7" t="str">
        <f t="shared" si="83"/>
        <v xml:space="preserve">IL </v>
      </c>
      <c r="N488" s="9">
        <f t="shared" si="84"/>
        <v>37.07</v>
      </c>
      <c r="O488" s="9">
        <f t="shared" si="85"/>
        <v>89.22</v>
      </c>
    </row>
    <row r="489" spans="1:15" x14ac:dyDescent="0.2">
      <c r="A489" s="1" t="s">
        <v>1022</v>
      </c>
      <c r="B489" s="2">
        <v>37.78</v>
      </c>
      <c r="C489" s="2">
        <v>89.25</v>
      </c>
      <c r="D489" s="2" t="s">
        <v>1023</v>
      </c>
      <c r="H489" s="2" t="s">
        <v>3120</v>
      </c>
      <c r="J489" s="7" t="str">
        <f t="shared" si="80"/>
        <v>Carbondale</v>
      </c>
      <c r="K489" s="7" t="str">
        <f t="shared" si="81"/>
        <v xml:space="preserve">IL  </v>
      </c>
      <c r="L489" s="7" t="str">
        <f t="shared" si="82"/>
        <v xml:space="preserve">IL </v>
      </c>
      <c r="M489" s="7" t="str">
        <f t="shared" si="83"/>
        <v xml:space="preserve">IL </v>
      </c>
      <c r="N489" s="9">
        <f t="shared" si="84"/>
        <v>37.78</v>
      </c>
      <c r="O489" s="9">
        <f t="shared" si="85"/>
        <v>89.25</v>
      </c>
    </row>
    <row r="490" spans="1:15" x14ac:dyDescent="0.2">
      <c r="A490" s="1" t="s">
        <v>1024</v>
      </c>
      <c r="B490" s="2">
        <v>38.51</v>
      </c>
      <c r="C490" s="2">
        <v>89.09</v>
      </c>
      <c r="D490" s="2" t="s">
        <v>1025</v>
      </c>
      <c r="H490" s="2" t="s">
        <v>3121</v>
      </c>
      <c r="J490" s="7" t="str">
        <f t="shared" si="80"/>
        <v>Centralia</v>
      </c>
      <c r="K490" s="7" t="str">
        <f t="shared" si="81"/>
        <v xml:space="preserve">IL  </v>
      </c>
      <c r="L490" s="7" t="str">
        <f t="shared" si="82"/>
        <v xml:space="preserve">IL </v>
      </c>
      <c r="M490" s="7" t="str">
        <f t="shared" si="83"/>
        <v xml:space="preserve">IL </v>
      </c>
      <c r="N490" s="9">
        <f t="shared" si="84"/>
        <v>38.51</v>
      </c>
      <c r="O490" s="9">
        <f t="shared" si="85"/>
        <v>89.09</v>
      </c>
    </row>
    <row r="491" spans="1:15" x14ac:dyDescent="0.2">
      <c r="A491" s="1" t="s">
        <v>1026</v>
      </c>
      <c r="B491" s="2">
        <v>40.03</v>
      </c>
      <c r="C491" s="2">
        <v>88.28</v>
      </c>
      <c r="D491" s="2" t="s">
        <v>1027</v>
      </c>
      <c r="H491" s="2" t="s">
        <v>3122</v>
      </c>
      <c r="J491" s="7" t="str">
        <f t="shared" si="80"/>
        <v>Champaign/Urbana</v>
      </c>
      <c r="K491" s="7" t="str">
        <f t="shared" si="81"/>
        <v xml:space="preserve">IL  </v>
      </c>
      <c r="L491" s="7" t="str">
        <f t="shared" si="82"/>
        <v xml:space="preserve">IL </v>
      </c>
      <c r="M491" s="7" t="str">
        <f t="shared" si="83"/>
        <v xml:space="preserve">IL </v>
      </c>
      <c r="N491" s="9">
        <f t="shared" si="84"/>
        <v>40.03</v>
      </c>
      <c r="O491" s="9">
        <f t="shared" si="85"/>
        <v>88.28</v>
      </c>
    </row>
    <row r="492" spans="1:15" x14ac:dyDescent="0.2">
      <c r="A492" s="1" t="s">
        <v>1028</v>
      </c>
      <c r="B492" s="2">
        <v>41.9</v>
      </c>
      <c r="C492" s="2">
        <v>87.65</v>
      </c>
      <c r="D492" s="2" t="s">
        <v>1029</v>
      </c>
      <c r="H492" s="2" t="s">
        <v>3123</v>
      </c>
      <c r="J492" s="7" t="str">
        <f t="shared" si="80"/>
        <v>Chicago</v>
      </c>
      <c r="K492" s="7" t="str">
        <f t="shared" si="81"/>
        <v xml:space="preserve">IL  </v>
      </c>
      <c r="L492" s="7" t="str">
        <f t="shared" si="82"/>
        <v xml:space="preserve">IL </v>
      </c>
      <c r="M492" s="7" t="str">
        <f t="shared" si="83"/>
        <v xml:space="preserve">IL </v>
      </c>
      <c r="N492" s="9">
        <f t="shared" si="84"/>
        <v>41.9</v>
      </c>
      <c r="O492" s="9">
        <f t="shared" si="85"/>
        <v>87.65</v>
      </c>
    </row>
    <row r="493" spans="1:15" x14ac:dyDescent="0.2">
      <c r="A493" s="1" t="s">
        <v>1030</v>
      </c>
      <c r="B493" s="2">
        <v>41.87</v>
      </c>
      <c r="C493" s="2">
        <v>87.62</v>
      </c>
      <c r="D493" s="2" t="s">
        <v>1031</v>
      </c>
      <c r="H493" s="2" t="s">
        <v>3124</v>
      </c>
      <c r="J493" s="7" t="str">
        <f t="shared" si="80"/>
        <v>Chicago/Meigs</v>
      </c>
      <c r="K493" s="7" t="str">
        <f t="shared" si="81"/>
        <v xml:space="preserve">IL  </v>
      </c>
      <c r="L493" s="7" t="str">
        <f t="shared" si="82"/>
        <v xml:space="preserve">IL </v>
      </c>
      <c r="M493" s="7" t="str">
        <f t="shared" si="83"/>
        <v xml:space="preserve">IL </v>
      </c>
      <c r="N493" s="9">
        <f t="shared" si="84"/>
        <v>41.87</v>
      </c>
      <c r="O493" s="9">
        <f t="shared" si="85"/>
        <v>87.62</v>
      </c>
    </row>
    <row r="494" spans="1:15" x14ac:dyDescent="0.2">
      <c r="A494" s="1" t="s">
        <v>1032</v>
      </c>
      <c r="B494" s="2">
        <v>41.78</v>
      </c>
      <c r="C494" s="2">
        <v>87.75</v>
      </c>
      <c r="D494" s="2" t="s">
        <v>1033</v>
      </c>
      <c r="H494" s="2" t="s">
        <v>3125</v>
      </c>
      <c r="J494" s="7" t="str">
        <f t="shared" si="80"/>
        <v>Chicago/Midway</v>
      </c>
      <c r="K494" s="7" t="str">
        <f t="shared" si="81"/>
        <v xml:space="preserve">IL  </v>
      </c>
      <c r="L494" s="7" t="str">
        <f t="shared" si="82"/>
        <v xml:space="preserve">IL </v>
      </c>
      <c r="M494" s="7" t="str">
        <f t="shared" si="83"/>
        <v xml:space="preserve">IL </v>
      </c>
      <c r="N494" s="9">
        <f t="shared" si="84"/>
        <v>41.78</v>
      </c>
      <c r="O494" s="9">
        <f t="shared" si="85"/>
        <v>87.75</v>
      </c>
    </row>
    <row r="495" spans="1:15" x14ac:dyDescent="0.2">
      <c r="A495" s="1" t="s">
        <v>1034</v>
      </c>
      <c r="B495" s="2">
        <v>41.98</v>
      </c>
      <c r="C495" s="2">
        <v>87.9</v>
      </c>
      <c r="D495" s="2" t="s">
        <v>1035</v>
      </c>
      <c r="H495" s="2" t="s">
        <v>3126</v>
      </c>
      <c r="J495" s="7" t="str">
        <f t="shared" si="80"/>
        <v>Chicago/O'hare</v>
      </c>
      <c r="K495" s="7" t="str">
        <f t="shared" si="81"/>
        <v xml:space="preserve">IL  </v>
      </c>
      <c r="L495" s="7" t="str">
        <f t="shared" si="82"/>
        <v xml:space="preserve">IL </v>
      </c>
      <c r="M495" s="7" t="str">
        <f t="shared" si="83"/>
        <v xml:space="preserve">IL </v>
      </c>
      <c r="N495" s="9">
        <f t="shared" si="84"/>
        <v>41.98</v>
      </c>
      <c r="O495" s="9">
        <f t="shared" si="85"/>
        <v>87.9</v>
      </c>
    </row>
    <row r="496" spans="1:15" x14ac:dyDescent="0.2">
      <c r="A496" s="1" t="s">
        <v>1036</v>
      </c>
      <c r="B496" s="2">
        <v>40.200000000000003</v>
      </c>
      <c r="C496" s="2">
        <v>87.6</v>
      </c>
      <c r="D496" s="2" t="s">
        <v>1037</v>
      </c>
      <c r="H496" s="2" t="s">
        <v>3127</v>
      </c>
      <c r="J496" s="7" t="str">
        <f t="shared" si="80"/>
        <v>Danville</v>
      </c>
      <c r="K496" s="7" t="str">
        <f t="shared" si="81"/>
        <v xml:space="preserve">IL  </v>
      </c>
      <c r="L496" s="7" t="str">
        <f t="shared" si="82"/>
        <v xml:space="preserve">IL </v>
      </c>
      <c r="M496" s="7" t="str">
        <f t="shared" si="83"/>
        <v xml:space="preserve">IL </v>
      </c>
      <c r="N496" s="9">
        <f t="shared" si="84"/>
        <v>40.200000000000003</v>
      </c>
      <c r="O496" s="9">
        <f t="shared" si="85"/>
        <v>87.6</v>
      </c>
    </row>
    <row r="497" spans="1:15" x14ac:dyDescent="0.2">
      <c r="A497" s="1" t="s">
        <v>1038</v>
      </c>
      <c r="B497" s="2">
        <v>41.93</v>
      </c>
      <c r="C497" s="2">
        <v>88.72</v>
      </c>
      <c r="D497" s="2" t="s">
        <v>1039</v>
      </c>
      <c r="H497" s="2" t="s">
        <v>3128</v>
      </c>
      <c r="J497" s="7" t="str">
        <f t="shared" si="80"/>
        <v>DeKalb</v>
      </c>
      <c r="K497" s="7" t="str">
        <f t="shared" si="81"/>
        <v xml:space="preserve">IL  </v>
      </c>
      <c r="L497" s="7" t="str">
        <f t="shared" si="82"/>
        <v xml:space="preserve">IL </v>
      </c>
      <c r="M497" s="7" t="str">
        <f t="shared" si="83"/>
        <v xml:space="preserve">IL </v>
      </c>
      <c r="N497" s="9">
        <f t="shared" si="84"/>
        <v>41.93</v>
      </c>
      <c r="O497" s="9">
        <f t="shared" si="85"/>
        <v>88.72</v>
      </c>
    </row>
    <row r="498" spans="1:15" x14ac:dyDescent="0.2">
      <c r="A498" s="1" t="s">
        <v>1040</v>
      </c>
      <c r="B498" s="2">
        <v>39.83</v>
      </c>
      <c r="C498" s="2">
        <v>88.87</v>
      </c>
      <c r="D498" s="2" t="s">
        <v>1041</v>
      </c>
      <c r="H498" s="2" t="s">
        <v>3129</v>
      </c>
      <c r="J498" s="7" t="str">
        <f t="shared" si="80"/>
        <v>Decatur</v>
      </c>
      <c r="K498" s="7" t="str">
        <f t="shared" si="81"/>
        <v xml:space="preserve">IL  </v>
      </c>
      <c r="L498" s="7" t="str">
        <f t="shared" si="82"/>
        <v xml:space="preserve">IL </v>
      </c>
      <c r="M498" s="7" t="str">
        <f t="shared" si="83"/>
        <v xml:space="preserve">IL </v>
      </c>
      <c r="N498" s="9">
        <f t="shared" si="84"/>
        <v>39.83</v>
      </c>
      <c r="O498" s="9">
        <f t="shared" si="85"/>
        <v>88.87</v>
      </c>
    </row>
    <row r="499" spans="1:15" x14ac:dyDescent="0.2">
      <c r="A499" s="1" t="s">
        <v>1042</v>
      </c>
      <c r="B499" s="2">
        <v>41.92</v>
      </c>
      <c r="C499" s="2">
        <v>88.25</v>
      </c>
      <c r="D499" s="2" t="s">
        <v>1043</v>
      </c>
      <c r="E499" s="2" t="s">
        <v>1044</v>
      </c>
      <c r="H499" s="2" t="s">
        <v>3130</v>
      </c>
      <c r="J499" s="7" t="str">
        <f t="shared" si="80"/>
        <v>Du Pag</v>
      </c>
      <c r="K499" s="7" t="str">
        <f t="shared" si="81"/>
        <v xml:space="preserve">,IL </v>
      </c>
      <c r="L499" s="7" t="str">
        <f t="shared" si="82"/>
        <v>,IL</v>
      </c>
      <c r="M499" s="7" t="str">
        <f t="shared" si="83"/>
        <v>IL</v>
      </c>
      <c r="N499" s="9">
        <f t="shared" si="84"/>
        <v>41.92</v>
      </c>
      <c r="O499" s="9">
        <f t="shared" si="85"/>
        <v>88.25</v>
      </c>
    </row>
    <row r="500" spans="1:15" x14ac:dyDescent="0.2">
      <c r="A500" s="1" t="s">
        <v>1045</v>
      </c>
      <c r="B500" s="2">
        <v>40.93</v>
      </c>
      <c r="C500" s="2">
        <v>90.43</v>
      </c>
      <c r="D500" s="2" t="s">
        <v>1046</v>
      </c>
      <c r="H500" s="2" t="s">
        <v>3131</v>
      </c>
      <c r="J500" s="7" t="str">
        <f t="shared" si="80"/>
        <v>Galesburg</v>
      </c>
      <c r="K500" s="7" t="str">
        <f t="shared" si="81"/>
        <v xml:space="preserve">IL  </v>
      </c>
      <c r="L500" s="7" t="str">
        <f t="shared" si="82"/>
        <v xml:space="preserve">IL </v>
      </c>
      <c r="M500" s="7" t="str">
        <f t="shared" si="83"/>
        <v xml:space="preserve">IL </v>
      </c>
      <c r="N500" s="9">
        <f t="shared" si="84"/>
        <v>40.93</v>
      </c>
      <c r="O500" s="9">
        <f t="shared" si="85"/>
        <v>90.43</v>
      </c>
    </row>
    <row r="501" spans="1:15" x14ac:dyDescent="0.2">
      <c r="A501" s="1" t="s">
        <v>1047</v>
      </c>
      <c r="B501" s="2">
        <v>42.08</v>
      </c>
      <c r="C501" s="2">
        <v>87.82</v>
      </c>
      <c r="D501" s="2" t="s">
        <v>1048</v>
      </c>
      <c r="E501" s="2" t="s">
        <v>1049</v>
      </c>
      <c r="H501" s="2" t="s">
        <v>3132</v>
      </c>
      <c r="J501" s="7" t="str">
        <f t="shared" si="80"/>
        <v>Glenview NA</v>
      </c>
      <c r="K501" s="7" t="str">
        <f t="shared" si="81"/>
        <v xml:space="preserve">,IL </v>
      </c>
      <c r="L501" s="7" t="str">
        <f t="shared" si="82"/>
        <v>,IL</v>
      </c>
      <c r="M501" s="7" t="str">
        <f t="shared" si="83"/>
        <v>IL</v>
      </c>
      <c r="N501" s="9">
        <f t="shared" si="84"/>
        <v>42.08</v>
      </c>
      <c r="O501" s="9">
        <f t="shared" si="85"/>
        <v>87.82</v>
      </c>
    </row>
    <row r="502" spans="1:15" x14ac:dyDescent="0.2">
      <c r="A502" s="1" t="s">
        <v>1050</v>
      </c>
      <c r="B502" s="2">
        <v>41.07</v>
      </c>
      <c r="C502" s="2">
        <v>87.85</v>
      </c>
      <c r="D502" s="2" t="s">
        <v>1051</v>
      </c>
      <c r="H502" s="2" t="s">
        <v>3133</v>
      </c>
      <c r="J502" s="7" t="str">
        <f t="shared" si="80"/>
        <v>Kankakee</v>
      </c>
      <c r="K502" s="7" t="str">
        <f t="shared" si="81"/>
        <v xml:space="preserve">IL  </v>
      </c>
      <c r="L502" s="7" t="str">
        <f t="shared" si="82"/>
        <v xml:space="preserve">IL </v>
      </c>
      <c r="M502" s="7" t="str">
        <f t="shared" si="83"/>
        <v xml:space="preserve">IL </v>
      </c>
      <c r="N502" s="9">
        <f t="shared" si="84"/>
        <v>41.07</v>
      </c>
      <c r="O502" s="9">
        <f t="shared" si="85"/>
        <v>87.85</v>
      </c>
    </row>
    <row r="503" spans="1:15" x14ac:dyDescent="0.2">
      <c r="A503" s="1" t="s">
        <v>1052</v>
      </c>
      <c r="B503" s="2">
        <v>40.520000000000003</v>
      </c>
      <c r="C503" s="2">
        <v>90.66</v>
      </c>
      <c r="D503" s="2" t="s">
        <v>1053</v>
      </c>
      <c r="H503" s="2" t="s">
        <v>3134</v>
      </c>
      <c r="J503" s="7" t="str">
        <f t="shared" si="80"/>
        <v>Macomb</v>
      </c>
      <c r="K503" s="7" t="str">
        <f t="shared" si="81"/>
        <v xml:space="preserve">IL  </v>
      </c>
      <c r="L503" s="7" t="str">
        <f t="shared" si="82"/>
        <v xml:space="preserve">IL </v>
      </c>
      <c r="M503" s="7" t="str">
        <f t="shared" si="83"/>
        <v xml:space="preserve">IL </v>
      </c>
      <c r="N503" s="9">
        <f t="shared" si="84"/>
        <v>40.520000000000003</v>
      </c>
      <c r="O503" s="9">
        <f t="shared" si="85"/>
        <v>90.66</v>
      </c>
    </row>
    <row r="504" spans="1:15" x14ac:dyDescent="0.2">
      <c r="A504" s="1" t="s">
        <v>1054</v>
      </c>
      <c r="B504" s="2">
        <v>37.75</v>
      </c>
      <c r="C504" s="2">
        <v>89</v>
      </c>
      <c r="D504" s="2" t="s">
        <v>1055</v>
      </c>
      <c r="H504" s="2" t="s">
        <v>3135</v>
      </c>
      <c r="J504" s="7" t="str">
        <f t="shared" si="80"/>
        <v>Marion</v>
      </c>
      <c r="K504" s="7" t="str">
        <f t="shared" si="81"/>
        <v xml:space="preserve">IL  </v>
      </c>
      <c r="L504" s="7" t="str">
        <f t="shared" si="82"/>
        <v xml:space="preserve">IL </v>
      </c>
      <c r="M504" s="7" t="str">
        <f t="shared" si="83"/>
        <v xml:space="preserve">IL </v>
      </c>
      <c r="N504" s="9">
        <f t="shared" si="84"/>
        <v>37.75</v>
      </c>
      <c r="O504" s="9">
        <f t="shared" si="85"/>
        <v>89</v>
      </c>
    </row>
    <row r="505" spans="1:15" x14ac:dyDescent="0.2">
      <c r="A505" s="1" t="s">
        <v>1056</v>
      </c>
      <c r="B505" s="2">
        <v>41.37</v>
      </c>
      <c r="C505" s="2">
        <v>88.68</v>
      </c>
      <c r="D505" s="2" t="s">
        <v>1057</v>
      </c>
      <c r="H505" s="2" t="s">
        <v>3136</v>
      </c>
      <c r="J505" s="7" t="str">
        <f t="shared" si="80"/>
        <v>Marseilles</v>
      </c>
      <c r="K505" s="7" t="str">
        <f t="shared" si="81"/>
        <v xml:space="preserve">IL  </v>
      </c>
      <c r="L505" s="7" t="str">
        <f t="shared" si="82"/>
        <v xml:space="preserve">IL </v>
      </c>
      <c r="M505" s="7" t="str">
        <f t="shared" si="83"/>
        <v xml:space="preserve">IL </v>
      </c>
      <c r="N505" s="9">
        <f t="shared" si="84"/>
        <v>41.37</v>
      </c>
      <c r="O505" s="9">
        <f t="shared" si="85"/>
        <v>88.68</v>
      </c>
    </row>
    <row r="506" spans="1:15" x14ac:dyDescent="0.2">
      <c r="A506" s="1" t="s">
        <v>1058</v>
      </c>
      <c r="B506" s="2">
        <v>39.479999999999997</v>
      </c>
      <c r="C506" s="2">
        <v>88.28</v>
      </c>
      <c r="D506" s="2" t="s">
        <v>1059</v>
      </c>
      <c r="H506" s="2" t="s">
        <v>3137</v>
      </c>
      <c r="J506" s="7" t="str">
        <f t="shared" si="80"/>
        <v>Mattoon</v>
      </c>
      <c r="K506" s="7" t="str">
        <f t="shared" si="81"/>
        <v xml:space="preserve">IL  </v>
      </c>
      <c r="L506" s="7" t="str">
        <f t="shared" si="82"/>
        <v xml:space="preserve">IL </v>
      </c>
      <c r="M506" s="7" t="str">
        <f t="shared" si="83"/>
        <v xml:space="preserve">IL </v>
      </c>
      <c r="N506" s="9">
        <f t="shared" si="84"/>
        <v>39.479999999999997</v>
      </c>
      <c r="O506" s="9">
        <f t="shared" si="85"/>
        <v>88.28</v>
      </c>
    </row>
    <row r="507" spans="1:15" x14ac:dyDescent="0.2">
      <c r="A507" s="1" t="s">
        <v>1060</v>
      </c>
      <c r="B507" s="2">
        <v>41.45</v>
      </c>
      <c r="C507" s="2">
        <v>90.52</v>
      </c>
      <c r="D507" s="2" t="s">
        <v>1061</v>
      </c>
      <c r="H507" s="2" t="s">
        <v>3138</v>
      </c>
      <c r="J507" s="7" t="str">
        <f t="shared" si="80"/>
        <v>Moline/Quad</v>
      </c>
      <c r="K507" s="7" t="str">
        <f t="shared" si="81"/>
        <v xml:space="preserve">IL  </v>
      </c>
      <c r="L507" s="7" t="str">
        <f t="shared" si="82"/>
        <v xml:space="preserve">IL </v>
      </c>
      <c r="M507" s="7" t="str">
        <f t="shared" si="83"/>
        <v xml:space="preserve">IL </v>
      </c>
      <c r="N507" s="9">
        <f t="shared" si="84"/>
        <v>41.45</v>
      </c>
      <c r="O507" s="9">
        <f t="shared" si="85"/>
        <v>90.52</v>
      </c>
    </row>
    <row r="508" spans="1:15" x14ac:dyDescent="0.2">
      <c r="A508" s="1" t="s">
        <v>1062</v>
      </c>
      <c r="B508" s="2">
        <v>38.32</v>
      </c>
      <c r="C508" s="2">
        <v>88.86</v>
      </c>
      <c r="D508" s="2" t="s">
        <v>552</v>
      </c>
      <c r="E508" s="2" t="s">
        <v>1063</v>
      </c>
      <c r="H508" s="2" t="s">
        <v>3139</v>
      </c>
      <c r="J508" s="7" t="str">
        <f t="shared" si="80"/>
        <v>Mount Verno</v>
      </c>
      <c r="K508" s="7" t="str">
        <f t="shared" si="81"/>
        <v xml:space="preserve">,IL </v>
      </c>
      <c r="L508" s="7" t="str">
        <f t="shared" si="82"/>
        <v>,IL</v>
      </c>
      <c r="M508" s="7" t="str">
        <f t="shared" si="83"/>
        <v>IL</v>
      </c>
      <c r="N508" s="9">
        <f t="shared" si="84"/>
        <v>38.32</v>
      </c>
      <c r="O508" s="9">
        <f t="shared" si="85"/>
        <v>88.86</v>
      </c>
    </row>
    <row r="509" spans="1:15" x14ac:dyDescent="0.2">
      <c r="A509" s="1" t="s">
        <v>1064</v>
      </c>
      <c r="B509" s="2">
        <v>40.67</v>
      </c>
      <c r="C509" s="2">
        <v>89.68</v>
      </c>
      <c r="D509" s="2" t="s">
        <v>1065</v>
      </c>
      <c r="H509" s="2" t="s">
        <v>3140</v>
      </c>
      <c r="J509" s="7" t="str">
        <f t="shared" si="80"/>
        <v>Peoria</v>
      </c>
      <c r="K509" s="7" t="str">
        <f t="shared" si="81"/>
        <v xml:space="preserve">IL  </v>
      </c>
      <c r="L509" s="7" t="str">
        <f t="shared" si="82"/>
        <v xml:space="preserve">IL </v>
      </c>
      <c r="M509" s="7" t="str">
        <f t="shared" si="83"/>
        <v xml:space="preserve">IL </v>
      </c>
      <c r="N509" s="9">
        <f t="shared" si="84"/>
        <v>40.67</v>
      </c>
      <c r="O509" s="9">
        <f t="shared" si="85"/>
        <v>89.68</v>
      </c>
    </row>
    <row r="510" spans="1:15" x14ac:dyDescent="0.2">
      <c r="A510" s="1" t="s">
        <v>1066</v>
      </c>
      <c r="B510" s="2">
        <v>39.93</v>
      </c>
      <c r="C510" s="2">
        <v>91.2</v>
      </c>
      <c r="D510" s="2" t="s">
        <v>1067</v>
      </c>
      <c r="H510" s="2" t="s">
        <v>3141</v>
      </c>
      <c r="J510" s="7" t="str">
        <f t="shared" si="80"/>
        <v>Quincy</v>
      </c>
      <c r="K510" s="7" t="str">
        <f t="shared" si="81"/>
        <v xml:space="preserve">IL  </v>
      </c>
      <c r="L510" s="7" t="str">
        <f t="shared" si="82"/>
        <v xml:space="preserve">IL </v>
      </c>
      <c r="M510" s="7" t="str">
        <f t="shared" si="83"/>
        <v xml:space="preserve">IL </v>
      </c>
      <c r="N510" s="9">
        <f t="shared" si="84"/>
        <v>39.93</v>
      </c>
      <c r="O510" s="9">
        <f t="shared" si="85"/>
        <v>91.2</v>
      </c>
    </row>
    <row r="511" spans="1:15" x14ac:dyDescent="0.2">
      <c r="A511" s="1" t="s">
        <v>1068</v>
      </c>
      <c r="B511" s="2">
        <v>42.2</v>
      </c>
      <c r="C511" s="2">
        <v>89.1</v>
      </c>
      <c r="D511" s="2" t="s">
        <v>1069</v>
      </c>
      <c r="H511" s="2" t="s">
        <v>3142</v>
      </c>
      <c r="J511" s="7" t="str">
        <f t="shared" si="80"/>
        <v>Rockford</v>
      </c>
      <c r="K511" s="7" t="str">
        <f t="shared" si="81"/>
        <v xml:space="preserve">IL  </v>
      </c>
      <c r="L511" s="7" t="str">
        <f t="shared" si="82"/>
        <v xml:space="preserve">IL </v>
      </c>
      <c r="M511" s="7" t="str">
        <f t="shared" si="83"/>
        <v xml:space="preserve">IL </v>
      </c>
      <c r="N511" s="9">
        <f t="shared" si="84"/>
        <v>42.2</v>
      </c>
      <c r="O511" s="9">
        <f t="shared" si="85"/>
        <v>89.1</v>
      </c>
    </row>
    <row r="512" spans="1:15" x14ac:dyDescent="0.2">
      <c r="A512" s="1" t="s">
        <v>1070</v>
      </c>
      <c r="B512" s="2">
        <v>38.630000000000003</v>
      </c>
      <c r="C512" s="2">
        <v>88.96</v>
      </c>
      <c r="D512" s="2" t="s">
        <v>1071</v>
      </c>
      <c r="H512" s="2" t="s">
        <v>3143</v>
      </c>
      <c r="J512" s="7" t="str">
        <f t="shared" si="80"/>
        <v>Salem</v>
      </c>
      <c r="K512" s="7" t="str">
        <f t="shared" si="81"/>
        <v xml:space="preserve">IL  </v>
      </c>
      <c r="L512" s="7" t="str">
        <f t="shared" si="82"/>
        <v xml:space="preserve">IL </v>
      </c>
      <c r="M512" s="7" t="str">
        <f t="shared" si="83"/>
        <v xml:space="preserve">IL </v>
      </c>
      <c r="N512" s="9">
        <f t="shared" si="84"/>
        <v>38.630000000000003</v>
      </c>
      <c r="O512" s="9">
        <f t="shared" si="85"/>
        <v>88.96</v>
      </c>
    </row>
    <row r="513" spans="1:15" x14ac:dyDescent="0.2">
      <c r="A513" s="1" t="s">
        <v>1072</v>
      </c>
      <c r="B513" s="2">
        <v>38.549999999999997</v>
      </c>
      <c r="C513" s="2">
        <v>89.85</v>
      </c>
      <c r="D513" s="2" t="s">
        <v>1073</v>
      </c>
      <c r="E513" s="2" t="s">
        <v>1074</v>
      </c>
      <c r="H513" s="2" t="s">
        <v>3144</v>
      </c>
      <c r="J513" s="7" t="str">
        <f t="shared" si="80"/>
        <v>Scott AF</v>
      </c>
      <c r="K513" s="7" t="str">
        <f t="shared" si="81"/>
        <v xml:space="preserve">,IL </v>
      </c>
      <c r="L513" s="7" t="str">
        <f t="shared" si="82"/>
        <v>,IL</v>
      </c>
      <c r="M513" s="7" t="str">
        <f t="shared" si="83"/>
        <v>IL</v>
      </c>
      <c r="N513" s="9">
        <f t="shared" si="84"/>
        <v>38.549999999999997</v>
      </c>
      <c r="O513" s="9">
        <f t="shared" si="85"/>
        <v>89.85</v>
      </c>
    </row>
    <row r="514" spans="1:15" x14ac:dyDescent="0.2">
      <c r="A514" s="1" t="s">
        <v>1075</v>
      </c>
      <c r="B514" s="2">
        <v>39.85</v>
      </c>
      <c r="C514" s="2">
        <v>89.67</v>
      </c>
      <c r="D514" s="2" t="s">
        <v>1076</v>
      </c>
      <c r="H514" s="2" t="s">
        <v>3145</v>
      </c>
      <c r="J514" s="7" t="str">
        <f t="shared" si="80"/>
        <v>Springfield</v>
      </c>
      <c r="K514" s="7" t="str">
        <f t="shared" si="81"/>
        <v xml:space="preserve">IL  </v>
      </c>
      <c r="L514" s="7" t="str">
        <f t="shared" si="82"/>
        <v xml:space="preserve">IL </v>
      </c>
      <c r="M514" s="7" t="str">
        <f t="shared" si="83"/>
        <v xml:space="preserve">IL </v>
      </c>
      <c r="N514" s="9">
        <f t="shared" si="84"/>
        <v>39.85</v>
      </c>
      <c r="O514" s="9">
        <f t="shared" si="85"/>
        <v>89.67</v>
      </c>
    </row>
    <row r="515" spans="1:15" x14ac:dyDescent="0.2">
      <c r="A515" s="1" t="s">
        <v>1077</v>
      </c>
      <c r="B515" s="2">
        <v>41.74</v>
      </c>
      <c r="C515" s="2">
        <v>89.67</v>
      </c>
      <c r="D515" s="2" t="s">
        <v>1078</v>
      </c>
      <c r="H515" s="2" t="s">
        <v>3146</v>
      </c>
      <c r="J515" s="7" t="str">
        <f t="shared" si="80"/>
        <v>Sterling</v>
      </c>
      <c r="K515" s="7" t="str">
        <f t="shared" si="81"/>
        <v xml:space="preserve">IL  </v>
      </c>
      <c r="L515" s="7" t="str">
        <f t="shared" si="82"/>
        <v xml:space="preserve">IL </v>
      </c>
      <c r="M515" s="7" t="str">
        <f t="shared" si="83"/>
        <v xml:space="preserve">IL </v>
      </c>
      <c r="N515" s="9">
        <f t="shared" si="84"/>
        <v>41.74</v>
      </c>
      <c r="O515" s="9">
        <f t="shared" si="85"/>
        <v>89.67</v>
      </c>
    </row>
    <row r="516" spans="1:15" x14ac:dyDescent="0.2">
      <c r="A516" s="1" t="s">
        <v>1079</v>
      </c>
      <c r="B516" s="2">
        <v>39.53</v>
      </c>
      <c r="C516" s="2">
        <v>89.33</v>
      </c>
      <c r="D516" s="2" t="s">
        <v>1080</v>
      </c>
      <c r="H516" s="2" t="s">
        <v>3147</v>
      </c>
      <c r="J516" s="7" t="str">
        <f t="shared" si="80"/>
        <v>Taylorville</v>
      </c>
      <c r="K516" s="7" t="str">
        <f t="shared" si="81"/>
        <v xml:space="preserve">IL  </v>
      </c>
      <c r="L516" s="7" t="str">
        <f t="shared" si="82"/>
        <v xml:space="preserve">IL </v>
      </c>
      <c r="M516" s="7" t="str">
        <f t="shared" si="83"/>
        <v xml:space="preserve">IL </v>
      </c>
      <c r="N516" s="9">
        <f t="shared" si="84"/>
        <v>39.53</v>
      </c>
      <c r="O516" s="9">
        <f t="shared" si="85"/>
        <v>89.33</v>
      </c>
    </row>
    <row r="517" spans="1:15" x14ac:dyDescent="0.2">
      <c r="A517" s="1" t="s">
        <v>1081</v>
      </c>
      <c r="B517" s="2">
        <v>38.99</v>
      </c>
      <c r="C517" s="2">
        <v>89.17</v>
      </c>
      <c r="D517" s="2" t="s">
        <v>1082</v>
      </c>
      <c r="H517" s="2" t="s">
        <v>3148</v>
      </c>
      <c r="J517" s="7" t="str">
        <f t="shared" si="80"/>
        <v>Vandalia</v>
      </c>
      <c r="K517" s="7" t="str">
        <f t="shared" si="81"/>
        <v xml:space="preserve">IL  </v>
      </c>
      <c r="L517" s="7" t="str">
        <f t="shared" si="82"/>
        <v xml:space="preserve">IL </v>
      </c>
      <c r="M517" s="7" t="str">
        <f t="shared" si="83"/>
        <v xml:space="preserve">IL </v>
      </c>
      <c r="N517" s="9">
        <f t="shared" si="84"/>
        <v>38.99</v>
      </c>
      <c r="O517" s="9">
        <f t="shared" si="85"/>
        <v>89.17</v>
      </c>
    </row>
    <row r="518" spans="1:15" x14ac:dyDescent="0.2">
      <c r="A518" s="4"/>
      <c r="H518" s="2" t="s">
        <v>2726</v>
      </c>
      <c r="J518" s="7"/>
      <c r="K518" s="7"/>
      <c r="L518" s="7"/>
      <c r="M518" s="7"/>
      <c r="N518" s="9"/>
      <c r="O518" s="9"/>
    </row>
    <row r="519" spans="1:15" x14ac:dyDescent="0.2">
      <c r="A519" s="1" t="s">
        <v>13</v>
      </c>
      <c r="H519" s="2" t="s">
        <v>2726</v>
      </c>
      <c r="J519" s="7"/>
      <c r="K519" s="7"/>
      <c r="L519" s="7"/>
      <c r="M519" s="7"/>
      <c r="N519" s="9"/>
      <c r="O519" s="9"/>
    </row>
    <row r="520" spans="1:15" x14ac:dyDescent="0.2">
      <c r="A520" s="4"/>
      <c r="H520" s="2" t="s">
        <v>2726</v>
      </c>
      <c r="J520" s="7"/>
      <c r="K520" s="7"/>
      <c r="L520" s="7"/>
      <c r="M520" s="7"/>
      <c r="N520" s="9"/>
      <c r="O520" s="9"/>
    </row>
    <row r="521" spans="1:15" x14ac:dyDescent="0.2">
      <c r="A521" s="4"/>
      <c r="H521" s="2" t="s">
        <v>2726</v>
      </c>
      <c r="J521" s="7"/>
      <c r="K521" s="7"/>
      <c r="L521" s="7"/>
      <c r="M521" s="7"/>
      <c r="N521" s="9"/>
      <c r="O521" s="9"/>
    </row>
    <row r="522" spans="1:15" x14ac:dyDescent="0.2">
      <c r="A522" s="1" t="s">
        <v>1083</v>
      </c>
      <c r="B522" s="2">
        <v>39.380000000000003</v>
      </c>
      <c r="C522" s="2">
        <v>86.5</v>
      </c>
      <c r="D522" s="2" t="s">
        <v>1084</v>
      </c>
      <c r="E522" s="2" t="s">
        <v>1085</v>
      </c>
      <c r="H522" s="2" t="s">
        <v>3149</v>
      </c>
      <c r="J522" s="7" t="str">
        <f t="shared" si="80"/>
        <v>Bakalar A</v>
      </c>
      <c r="K522" s="7" t="str">
        <f t="shared" si="81"/>
        <v xml:space="preserve">,IN </v>
      </c>
      <c r="L522" s="7" t="str">
        <f t="shared" ref="L522:L533" si="86">LEFT(K522,LEN(K522)-1)</f>
        <v>,IN</v>
      </c>
      <c r="M522" s="7" t="str">
        <f t="shared" ref="M522:M533" si="87">SUBSTITUTE(L522,",","")</f>
        <v>IN</v>
      </c>
      <c r="N522" s="9">
        <f t="shared" ref="N522:N533" si="88">B522</f>
        <v>39.380000000000003</v>
      </c>
      <c r="O522" s="9">
        <f t="shared" ref="O522:O533" si="89">C522</f>
        <v>86.5</v>
      </c>
    </row>
    <row r="523" spans="1:15" x14ac:dyDescent="0.2">
      <c r="A523" s="1" t="s">
        <v>1086</v>
      </c>
      <c r="B523" s="2">
        <v>39.130000000000003</v>
      </c>
      <c r="C523" s="2">
        <v>86.62</v>
      </c>
      <c r="D523" s="2" t="s">
        <v>1087</v>
      </c>
      <c r="H523" s="2" t="s">
        <v>3150</v>
      </c>
      <c r="J523" s="7" t="str">
        <f t="shared" si="80"/>
        <v>Bloomington</v>
      </c>
      <c r="K523" s="7" t="str">
        <f t="shared" si="81"/>
        <v xml:space="preserve">IN  </v>
      </c>
      <c r="L523" s="7" t="str">
        <f t="shared" si="86"/>
        <v xml:space="preserve">IN </v>
      </c>
      <c r="M523" s="7" t="str">
        <f t="shared" si="87"/>
        <v xml:space="preserve">IN </v>
      </c>
      <c r="N523" s="9">
        <f t="shared" si="88"/>
        <v>39.130000000000003</v>
      </c>
      <c r="O523" s="9">
        <f t="shared" si="89"/>
        <v>86.62</v>
      </c>
    </row>
    <row r="524" spans="1:15" x14ac:dyDescent="0.2">
      <c r="A524" s="1" t="s">
        <v>1088</v>
      </c>
      <c r="B524" s="2">
        <v>41.72</v>
      </c>
      <c r="C524" s="2">
        <v>86</v>
      </c>
      <c r="D524" s="2" t="s">
        <v>1089</v>
      </c>
      <c r="H524" s="2" t="s">
        <v>3151</v>
      </c>
      <c r="J524" s="7" t="str">
        <f t="shared" si="80"/>
        <v>Elkhart</v>
      </c>
      <c r="K524" s="7" t="str">
        <f t="shared" si="81"/>
        <v xml:space="preserve">IN  </v>
      </c>
      <c r="L524" s="7" t="str">
        <f t="shared" si="86"/>
        <v xml:space="preserve">IN </v>
      </c>
      <c r="M524" s="7" t="str">
        <f t="shared" si="87"/>
        <v xml:space="preserve">IN </v>
      </c>
      <c r="N524" s="9">
        <f t="shared" si="88"/>
        <v>41.72</v>
      </c>
      <c r="O524" s="9">
        <f t="shared" si="89"/>
        <v>86</v>
      </c>
    </row>
    <row r="525" spans="1:15" x14ac:dyDescent="0.2">
      <c r="A525" s="1" t="s">
        <v>1090</v>
      </c>
      <c r="B525" s="2">
        <v>38.049999999999997</v>
      </c>
      <c r="C525" s="2">
        <v>87.53</v>
      </c>
      <c r="D525" s="2" t="s">
        <v>1091</v>
      </c>
      <c r="H525" s="2" t="s">
        <v>3152</v>
      </c>
      <c r="J525" s="7" t="str">
        <f t="shared" si="80"/>
        <v>Evansville</v>
      </c>
      <c r="K525" s="7" t="str">
        <f t="shared" si="81"/>
        <v xml:space="preserve">IN  </v>
      </c>
      <c r="L525" s="7" t="str">
        <f t="shared" si="86"/>
        <v xml:space="preserve">IN </v>
      </c>
      <c r="M525" s="7" t="str">
        <f t="shared" si="87"/>
        <v xml:space="preserve">IN </v>
      </c>
      <c r="N525" s="9">
        <f t="shared" si="88"/>
        <v>38.049999999999997</v>
      </c>
      <c r="O525" s="9">
        <f t="shared" si="89"/>
        <v>87.53</v>
      </c>
    </row>
    <row r="526" spans="1:15" x14ac:dyDescent="0.2">
      <c r="A526" s="1" t="s">
        <v>1092</v>
      </c>
      <c r="B526" s="2">
        <v>41</v>
      </c>
      <c r="C526" s="2">
        <v>85.2</v>
      </c>
      <c r="D526" s="2" t="s">
        <v>71</v>
      </c>
      <c r="E526" s="2" t="s">
        <v>1093</v>
      </c>
      <c r="H526" s="2" t="s">
        <v>3153</v>
      </c>
      <c r="J526" s="7" t="str">
        <f t="shared" si="80"/>
        <v>Fort Wayn</v>
      </c>
      <c r="K526" s="7" t="str">
        <f t="shared" si="81"/>
        <v xml:space="preserve">,IN </v>
      </c>
      <c r="L526" s="7" t="str">
        <f t="shared" si="86"/>
        <v>,IN</v>
      </c>
      <c r="M526" s="7" t="str">
        <f t="shared" si="87"/>
        <v>IN</v>
      </c>
      <c r="N526" s="9">
        <f t="shared" si="88"/>
        <v>41</v>
      </c>
      <c r="O526" s="9">
        <f t="shared" si="89"/>
        <v>85.2</v>
      </c>
    </row>
    <row r="527" spans="1:15" x14ac:dyDescent="0.2">
      <c r="A527" s="1" t="s">
        <v>1094</v>
      </c>
      <c r="B527" s="2">
        <v>41.62</v>
      </c>
      <c r="C527" s="2">
        <v>87.42</v>
      </c>
      <c r="D527" s="2" t="s">
        <v>1095</v>
      </c>
      <c r="H527" s="2" t="s">
        <v>3154</v>
      </c>
      <c r="J527" s="7" t="str">
        <f t="shared" si="80"/>
        <v>Gary</v>
      </c>
      <c r="K527" s="7" t="str">
        <f t="shared" si="81"/>
        <v xml:space="preserve">IN  </v>
      </c>
      <c r="L527" s="7" t="str">
        <f t="shared" si="86"/>
        <v xml:space="preserve">IN </v>
      </c>
      <c r="M527" s="7" t="str">
        <f t="shared" si="87"/>
        <v xml:space="preserve">IN </v>
      </c>
      <c r="N527" s="9">
        <f t="shared" si="88"/>
        <v>41.62</v>
      </c>
      <c r="O527" s="9">
        <f t="shared" si="89"/>
        <v>87.42</v>
      </c>
    </row>
    <row r="528" spans="1:15" x14ac:dyDescent="0.2">
      <c r="A528" s="1" t="s">
        <v>1096</v>
      </c>
      <c r="B528" s="2">
        <v>40.65</v>
      </c>
      <c r="C528" s="2">
        <v>86.15</v>
      </c>
      <c r="D528" s="2" t="s">
        <v>1097</v>
      </c>
      <c r="E528" s="2" t="s">
        <v>1098</v>
      </c>
      <c r="H528" s="2" t="s">
        <v>3155</v>
      </c>
      <c r="J528" s="7" t="str">
        <f t="shared" si="80"/>
        <v>Grissom AF</v>
      </c>
      <c r="K528" s="7" t="str">
        <f t="shared" si="81"/>
        <v xml:space="preserve">,IN </v>
      </c>
      <c r="L528" s="7" t="str">
        <f t="shared" si="86"/>
        <v>,IN</v>
      </c>
      <c r="M528" s="7" t="str">
        <f t="shared" si="87"/>
        <v>IN</v>
      </c>
      <c r="N528" s="9">
        <f t="shared" si="88"/>
        <v>40.65</v>
      </c>
      <c r="O528" s="9">
        <f t="shared" si="89"/>
        <v>86.15</v>
      </c>
    </row>
    <row r="529" spans="1:15" x14ac:dyDescent="0.2">
      <c r="A529" s="1" t="s">
        <v>1099</v>
      </c>
      <c r="B529" s="2">
        <v>39.729999999999997</v>
      </c>
      <c r="C529" s="2">
        <v>86.27</v>
      </c>
      <c r="D529" s="2" t="s">
        <v>1100</v>
      </c>
      <c r="H529" s="2" t="s">
        <v>3156</v>
      </c>
      <c r="J529" s="7" t="str">
        <f t="shared" si="80"/>
        <v>Indianapolis</v>
      </c>
      <c r="K529" s="7" t="str">
        <f t="shared" si="81"/>
        <v xml:space="preserve">IN  </v>
      </c>
      <c r="L529" s="7" t="str">
        <f t="shared" si="86"/>
        <v xml:space="preserve">IN </v>
      </c>
      <c r="M529" s="7" t="str">
        <f t="shared" si="87"/>
        <v xml:space="preserve">IN </v>
      </c>
      <c r="N529" s="9">
        <f t="shared" si="88"/>
        <v>39.729999999999997</v>
      </c>
      <c r="O529" s="9">
        <f t="shared" si="89"/>
        <v>86.27</v>
      </c>
    </row>
    <row r="530" spans="1:15" x14ac:dyDescent="0.2">
      <c r="A530" s="1" t="s">
        <v>1101</v>
      </c>
      <c r="B530" s="2">
        <v>40.229999999999997</v>
      </c>
      <c r="C530" s="2">
        <v>85.38</v>
      </c>
      <c r="D530" s="2" t="s">
        <v>1102</v>
      </c>
      <c r="H530" s="2" t="s">
        <v>3157</v>
      </c>
      <c r="J530" s="7" t="str">
        <f t="shared" si="80"/>
        <v>Muncie</v>
      </c>
      <c r="K530" s="7" t="str">
        <f t="shared" si="81"/>
        <v xml:space="preserve">IN  </v>
      </c>
      <c r="L530" s="7" t="str">
        <f t="shared" si="86"/>
        <v xml:space="preserve">IN </v>
      </c>
      <c r="M530" s="7" t="str">
        <f t="shared" si="87"/>
        <v xml:space="preserve">IN </v>
      </c>
      <c r="N530" s="9">
        <f t="shared" si="88"/>
        <v>40.229999999999997</v>
      </c>
      <c r="O530" s="9">
        <f t="shared" si="89"/>
        <v>85.38</v>
      </c>
    </row>
    <row r="531" spans="1:15" x14ac:dyDescent="0.2">
      <c r="A531" s="1" t="s">
        <v>1103</v>
      </c>
      <c r="B531" s="2">
        <v>41.7</v>
      </c>
      <c r="C531" s="2">
        <v>86.32</v>
      </c>
      <c r="D531" s="2" t="s">
        <v>54</v>
      </c>
      <c r="E531" s="2" t="s">
        <v>1104</v>
      </c>
      <c r="H531" s="2" t="s">
        <v>3158</v>
      </c>
      <c r="J531" s="7" t="str">
        <f t="shared" si="80"/>
        <v>South Ben</v>
      </c>
      <c r="K531" s="7" t="str">
        <f t="shared" si="81"/>
        <v xml:space="preserve">,IN </v>
      </c>
      <c r="L531" s="7" t="str">
        <f t="shared" si="86"/>
        <v>,IN</v>
      </c>
      <c r="M531" s="7" t="str">
        <f t="shared" si="87"/>
        <v>IN</v>
      </c>
      <c r="N531" s="9">
        <f t="shared" si="88"/>
        <v>41.7</v>
      </c>
      <c r="O531" s="9">
        <f t="shared" si="89"/>
        <v>86.32</v>
      </c>
    </row>
    <row r="532" spans="1:15" x14ac:dyDescent="0.2">
      <c r="A532" s="1" t="s">
        <v>1105</v>
      </c>
      <c r="B532" s="2">
        <v>39.450000000000003</v>
      </c>
      <c r="C532" s="2">
        <v>87.3</v>
      </c>
      <c r="D532" s="2" t="s">
        <v>1106</v>
      </c>
      <c r="E532" s="2" t="s">
        <v>1107</v>
      </c>
      <c r="H532" s="2" t="s">
        <v>3159</v>
      </c>
      <c r="J532" s="7" t="str">
        <f t="shared" si="80"/>
        <v>Terre Haut</v>
      </c>
      <c r="K532" s="7" t="str">
        <f t="shared" si="81"/>
        <v xml:space="preserve">,IN </v>
      </c>
      <c r="L532" s="7" t="str">
        <f t="shared" si="86"/>
        <v>,IN</v>
      </c>
      <c r="M532" s="7" t="str">
        <f t="shared" si="87"/>
        <v>IN</v>
      </c>
      <c r="N532" s="9">
        <f t="shared" si="88"/>
        <v>39.450000000000003</v>
      </c>
      <c r="O532" s="9">
        <f t="shared" si="89"/>
        <v>87.3</v>
      </c>
    </row>
    <row r="533" spans="1:15" x14ac:dyDescent="0.2">
      <c r="A533" s="1" t="s">
        <v>1108</v>
      </c>
      <c r="B533" s="2">
        <v>40.42</v>
      </c>
      <c r="C533" s="2">
        <v>86.93</v>
      </c>
      <c r="D533" s="2" t="s">
        <v>880</v>
      </c>
      <c r="E533" s="2" t="s">
        <v>1109</v>
      </c>
      <c r="H533" s="2" t="s">
        <v>3160</v>
      </c>
      <c r="J533" s="7" t="str">
        <f t="shared" si="80"/>
        <v>W Lafayett</v>
      </c>
      <c r="K533" s="7" t="str">
        <f t="shared" si="81"/>
        <v xml:space="preserve">,IN </v>
      </c>
      <c r="L533" s="7" t="str">
        <f t="shared" si="86"/>
        <v>,IN</v>
      </c>
      <c r="M533" s="7" t="str">
        <f t="shared" si="87"/>
        <v>IN</v>
      </c>
      <c r="N533" s="9">
        <f t="shared" si="88"/>
        <v>40.42</v>
      </c>
      <c r="O533" s="9">
        <f t="shared" si="89"/>
        <v>86.93</v>
      </c>
    </row>
    <row r="534" spans="1:15" x14ac:dyDescent="0.2">
      <c r="A534" s="4"/>
      <c r="H534" s="2" t="s">
        <v>2726</v>
      </c>
      <c r="J534" s="7"/>
      <c r="K534" s="7"/>
      <c r="L534" s="7"/>
      <c r="M534" s="7"/>
      <c r="N534" s="9"/>
      <c r="O534" s="9"/>
    </row>
    <row r="535" spans="1:15" x14ac:dyDescent="0.2">
      <c r="A535" s="1" t="s">
        <v>14</v>
      </c>
      <c r="H535" s="2" t="s">
        <v>2726</v>
      </c>
      <c r="J535" s="7"/>
      <c r="K535" s="7"/>
      <c r="L535" s="7"/>
      <c r="M535" s="7"/>
      <c r="N535" s="9"/>
      <c r="O535" s="9"/>
    </row>
    <row r="536" spans="1:15" x14ac:dyDescent="0.2">
      <c r="A536" s="4"/>
      <c r="H536" s="2" t="s">
        <v>2726</v>
      </c>
      <c r="J536" s="7"/>
      <c r="K536" s="7"/>
      <c r="L536" s="7"/>
      <c r="M536" s="7"/>
      <c r="N536" s="9"/>
      <c r="O536" s="9"/>
    </row>
    <row r="537" spans="1:15" x14ac:dyDescent="0.2">
      <c r="A537" s="1" t="s">
        <v>1110</v>
      </c>
      <c r="B537" s="2">
        <v>40.78</v>
      </c>
      <c r="C537" s="2">
        <v>91.12</v>
      </c>
      <c r="D537" s="2" t="s">
        <v>1111</v>
      </c>
      <c r="H537" s="2" t="s">
        <v>3161</v>
      </c>
      <c r="J537" s="7" t="str">
        <f t="shared" ref="J537:J597" si="90">LEFT(H537,LEN(H537)-5)</f>
        <v>Burlington</v>
      </c>
      <c r="K537" s="7" t="str">
        <f t="shared" ref="K537:K597" si="91">RIGHT(H537,4)</f>
        <v xml:space="preserve">IA  </v>
      </c>
      <c r="L537" s="7" t="str">
        <f t="shared" ref="L537:L548" si="92">LEFT(K537,LEN(K537)-1)</f>
        <v xml:space="preserve">IA </v>
      </c>
      <c r="M537" s="7" t="str">
        <f t="shared" ref="M537:M548" si="93">SUBSTITUTE(L537,",","")</f>
        <v xml:space="preserve">IA </v>
      </c>
      <c r="N537" s="9">
        <f t="shared" ref="N537:N548" si="94">B537</f>
        <v>40.78</v>
      </c>
      <c r="O537" s="9">
        <f t="shared" ref="O537:O548" si="95">C537</f>
        <v>91.12</v>
      </c>
    </row>
    <row r="538" spans="1:15" x14ac:dyDescent="0.2">
      <c r="A538" s="1" t="s">
        <v>1112</v>
      </c>
      <c r="B538" s="2">
        <v>41.88</v>
      </c>
      <c r="C538" s="2">
        <v>91.7</v>
      </c>
      <c r="D538" s="2" t="s">
        <v>1113</v>
      </c>
      <c r="E538" s="2" t="s">
        <v>1114</v>
      </c>
      <c r="H538" s="2" t="s">
        <v>3162</v>
      </c>
      <c r="J538" s="7" t="str">
        <f t="shared" si="90"/>
        <v>Cedar Rapid</v>
      </c>
      <c r="K538" s="7" t="str">
        <f t="shared" si="91"/>
        <v xml:space="preserve">,IA </v>
      </c>
      <c r="L538" s="7" t="str">
        <f t="shared" si="92"/>
        <v>,IA</v>
      </c>
      <c r="M538" s="7" t="str">
        <f t="shared" si="93"/>
        <v>IA</v>
      </c>
      <c r="N538" s="9">
        <f t="shared" si="94"/>
        <v>41.88</v>
      </c>
      <c r="O538" s="9">
        <f t="shared" si="95"/>
        <v>91.7</v>
      </c>
    </row>
    <row r="539" spans="1:15" x14ac:dyDescent="0.2">
      <c r="A539" s="1" t="s">
        <v>1115</v>
      </c>
      <c r="B539" s="2">
        <v>41.53</v>
      </c>
      <c r="C539" s="2">
        <v>93.65</v>
      </c>
      <c r="D539" s="2" t="s">
        <v>1116</v>
      </c>
      <c r="E539" s="2" t="s">
        <v>1117</v>
      </c>
      <c r="H539" s="2" t="s">
        <v>3865</v>
      </c>
      <c r="J539" s="7" t="str">
        <f t="shared" si="90"/>
        <v>Des Moines</v>
      </c>
      <c r="K539" s="7" t="str">
        <f t="shared" si="91"/>
        <v xml:space="preserve">IA  </v>
      </c>
      <c r="L539" s="7" t="str">
        <f t="shared" si="92"/>
        <v xml:space="preserve">IA </v>
      </c>
      <c r="M539" s="7" t="str">
        <f t="shared" si="93"/>
        <v xml:space="preserve">IA </v>
      </c>
      <c r="N539" s="9">
        <f t="shared" si="94"/>
        <v>41.53</v>
      </c>
      <c r="O539" s="9">
        <f t="shared" si="95"/>
        <v>93.65</v>
      </c>
    </row>
    <row r="540" spans="1:15" x14ac:dyDescent="0.2">
      <c r="A540" s="1" t="s">
        <v>1118</v>
      </c>
      <c r="B540" s="2">
        <v>42.4</v>
      </c>
      <c r="C540" s="2">
        <v>90.7</v>
      </c>
      <c r="D540" s="2" t="s">
        <v>1119</v>
      </c>
      <c r="H540" s="2" t="s">
        <v>3163</v>
      </c>
      <c r="J540" s="7" t="str">
        <f t="shared" si="90"/>
        <v>Dubuque</v>
      </c>
      <c r="K540" s="7" t="str">
        <f t="shared" si="91"/>
        <v xml:space="preserve">IA  </v>
      </c>
      <c r="L540" s="7" t="str">
        <f t="shared" si="92"/>
        <v xml:space="preserve">IA </v>
      </c>
      <c r="M540" s="7" t="str">
        <f t="shared" si="93"/>
        <v xml:space="preserve">IA </v>
      </c>
      <c r="N540" s="9">
        <f t="shared" si="94"/>
        <v>42.4</v>
      </c>
      <c r="O540" s="9">
        <f t="shared" si="95"/>
        <v>90.7</v>
      </c>
    </row>
    <row r="541" spans="1:15" x14ac:dyDescent="0.2">
      <c r="A541" s="1" t="s">
        <v>1120</v>
      </c>
      <c r="B541" s="2">
        <v>43.4</v>
      </c>
      <c r="C541" s="2">
        <v>94.75</v>
      </c>
      <c r="D541" s="2" t="s">
        <v>1121</v>
      </c>
      <c r="H541" s="2" t="s">
        <v>3164</v>
      </c>
      <c r="J541" s="7" t="str">
        <f t="shared" si="90"/>
        <v>Estherville</v>
      </c>
      <c r="K541" s="7" t="str">
        <f t="shared" si="91"/>
        <v xml:space="preserve">IA  </v>
      </c>
      <c r="L541" s="7" t="str">
        <f t="shared" si="92"/>
        <v xml:space="preserve">IA </v>
      </c>
      <c r="M541" s="7" t="str">
        <f t="shared" si="93"/>
        <v xml:space="preserve">IA </v>
      </c>
      <c r="N541" s="9">
        <f t="shared" si="94"/>
        <v>43.4</v>
      </c>
      <c r="O541" s="9">
        <f t="shared" si="95"/>
        <v>94.75</v>
      </c>
    </row>
    <row r="542" spans="1:15" x14ac:dyDescent="0.2">
      <c r="A542" s="1" t="s">
        <v>1122</v>
      </c>
      <c r="B542" s="2">
        <v>42.55</v>
      </c>
      <c r="C542" s="2">
        <v>94.18</v>
      </c>
      <c r="D542" s="2" t="s">
        <v>71</v>
      </c>
      <c r="E542" s="2" t="s">
        <v>1123</v>
      </c>
      <c r="H542" s="2" t="s">
        <v>3165</v>
      </c>
      <c r="J542" s="7" t="str">
        <f t="shared" si="90"/>
        <v>Fort Dodg</v>
      </c>
      <c r="K542" s="7" t="str">
        <f t="shared" si="91"/>
        <v xml:space="preserve">,IA </v>
      </c>
      <c r="L542" s="7" t="str">
        <f t="shared" si="92"/>
        <v>,IA</v>
      </c>
      <c r="M542" s="7" t="str">
        <f t="shared" si="93"/>
        <v>IA</v>
      </c>
      <c r="N542" s="9">
        <f t="shared" si="94"/>
        <v>42.55</v>
      </c>
      <c r="O542" s="9">
        <f t="shared" si="95"/>
        <v>94.18</v>
      </c>
    </row>
    <row r="543" spans="1:15" x14ac:dyDescent="0.2">
      <c r="A543" s="1" t="s">
        <v>1124</v>
      </c>
      <c r="B543" s="2">
        <v>40.619999999999997</v>
      </c>
      <c r="C543" s="2">
        <v>93.93</v>
      </c>
      <c r="D543" s="2" t="s">
        <v>1125</v>
      </c>
      <c r="H543" s="2" t="s">
        <v>3166</v>
      </c>
      <c r="J543" s="7" t="str">
        <f t="shared" si="90"/>
        <v>Lamoni</v>
      </c>
      <c r="K543" s="7" t="str">
        <f t="shared" si="91"/>
        <v xml:space="preserve">IA  </v>
      </c>
      <c r="L543" s="7" t="str">
        <f t="shared" si="92"/>
        <v xml:space="preserve">IA </v>
      </c>
      <c r="M543" s="7" t="str">
        <f t="shared" si="93"/>
        <v xml:space="preserve">IA </v>
      </c>
      <c r="N543" s="9">
        <f t="shared" si="94"/>
        <v>40.619999999999997</v>
      </c>
      <c r="O543" s="9">
        <f t="shared" si="95"/>
        <v>93.93</v>
      </c>
    </row>
    <row r="544" spans="1:15" x14ac:dyDescent="0.2">
      <c r="A544" s="1" t="s">
        <v>1126</v>
      </c>
      <c r="B544" s="2">
        <v>43.15</v>
      </c>
      <c r="C544" s="2">
        <v>93.33</v>
      </c>
      <c r="D544" s="2" t="s">
        <v>1127</v>
      </c>
      <c r="E544" s="2" t="s">
        <v>1128</v>
      </c>
      <c r="H544" s="2" t="s">
        <v>3167</v>
      </c>
      <c r="J544" s="7" t="str">
        <f t="shared" si="90"/>
        <v>Mason Cit</v>
      </c>
      <c r="K544" s="7" t="str">
        <f t="shared" si="91"/>
        <v xml:space="preserve">,IA </v>
      </c>
      <c r="L544" s="7" t="str">
        <f t="shared" si="92"/>
        <v>,IA</v>
      </c>
      <c r="M544" s="7" t="str">
        <f t="shared" si="93"/>
        <v>IA</v>
      </c>
      <c r="N544" s="9">
        <f t="shared" si="94"/>
        <v>43.15</v>
      </c>
      <c r="O544" s="9">
        <f t="shared" si="95"/>
        <v>93.33</v>
      </c>
    </row>
    <row r="545" spans="1:15" x14ac:dyDescent="0.2">
      <c r="A545" s="1" t="s">
        <v>1129</v>
      </c>
      <c r="B545" s="2">
        <v>41.1</v>
      </c>
      <c r="C545" s="2">
        <v>92.45</v>
      </c>
      <c r="D545" s="2" t="s">
        <v>1130</v>
      </c>
      <c r="H545" s="2" t="s">
        <v>3168</v>
      </c>
      <c r="J545" s="7" t="str">
        <f t="shared" si="90"/>
        <v>Ottumwa</v>
      </c>
      <c r="K545" s="7" t="str">
        <f t="shared" si="91"/>
        <v xml:space="preserve">IA  </v>
      </c>
      <c r="L545" s="7" t="str">
        <f t="shared" si="92"/>
        <v xml:space="preserve">IA </v>
      </c>
      <c r="M545" s="7" t="str">
        <f t="shared" si="93"/>
        <v xml:space="preserve">IA </v>
      </c>
      <c r="N545" s="9">
        <f t="shared" si="94"/>
        <v>41.1</v>
      </c>
      <c r="O545" s="9">
        <f t="shared" si="95"/>
        <v>92.45</v>
      </c>
    </row>
    <row r="546" spans="1:15" x14ac:dyDescent="0.2">
      <c r="A546" s="1" t="s">
        <v>1131</v>
      </c>
      <c r="B546" s="2">
        <v>42.4</v>
      </c>
      <c r="C546" s="2">
        <v>96.38</v>
      </c>
      <c r="D546" s="2" t="s">
        <v>1132</v>
      </c>
      <c r="E546" s="2" t="s">
        <v>1128</v>
      </c>
      <c r="H546" s="2" t="s">
        <v>3169</v>
      </c>
      <c r="J546" s="7" t="str">
        <f t="shared" si="90"/>
        <v>Sioux Cit</v>
      </c>
      <c r="K546" s="7" t="str">
        <f t="shared" si="91"/>
        <v xml:space="preserve">,IA </v>
      </c>
      <c r="L546" s="7" t="str">
        <f t="shared" si="92"/>
        <v>,IA</v>
      </c>
      <c r="M546" s="7" t="str">
        <f t="shared" si="93"/>
        <v>IA</v>
      </c>
      <c r="N546" s="9">
        <f t="shared" si="94"/>
        <v>42.4</v>
      </c>
      <c r="O546" s="9">
        <f t="shared" si="95"/>
        <v>96.38</v>
      </c>
    </row>
    <row r="547" spans="1:15" x14ac:dyDescent="0.2">
      <c r="A547" s="1" t="s">
        <v>1133</v>
      </c>
      <c r="B547" s="2">
        <v>43.17</v>
      </c>
      <c r="C547" s="2">
        <v>95.15</v>
      </c>
      <c r="D547" s="2" t="s">
        <v>1134</v>
      </c>
      <c r="H547" s="2" t="s">
        <v>3170</v>
      </c>
      <c r="J547" s="7" t="str">
        <f t="shared" si="90"/>
        <v>Spencer</v>
      </c>
      <c r="K547" s="7" t="str">
        <f t="shared" si="91"/>
        <v xml:space="preserve">IA  </v>
      </c>
      <c r="L547" s="7" t="str">
        <f t="shared" si="92"/>
        <v xml:space="preserve">IA </v>
      </c>
      <c r="M547" s="7" t="str">
        <f t="shared" si="93"/>
        <v xml:space="preserve">IA </v>
      </c>
      <c r="N547" s="9">
        <f t="shared" si="94"/>
        <v>43.17</v>
      </c>
      <c r="O547" s="9">
        <f t="shared" si="95"/>
        <v>95.15</v>
      </c>
    </row>
    <row r="548" spans="1:15" x14ac:dyDescent="0.2">
      <c r="A548" s="1" t="s">
        <v>1135</v>
      </c>
      <c r="B548" s="2">
        <v>42.55</v>
      </c>
      <c r="C548" s="2">
        <v>92.4</v>
      </c>
      <c r="D548" s="2" t="s">
        <v>1136</v>
      </c>
      <c r="E548" s="2" t="s">
        <v>1137</v>
      </c>
      <c r="H548" s="2" t="s">
        <v>3171</v>
      </c>
      <c r="J548" s="7" t="str">
        <f t="shared" si="90"/>
        <v>Waterloo Mu</v>
      </c>
      <c r="K548" s="7" t="str">
        <f t="shared" si="91"/>
        <v xml:space="preserve">,IA </v>
      </c>
      <c r="L548" s="7" t="str">
        <f t="shared" si="92"/>
        <v>,IA</v>
      </c>
      <c r="M548" s="7" t="str">
        <f t="shared" si="93"/>
        <v>IA</v>
      </c>
      <c r="N548" s="9">
        <f t="shared" si="94"/>
        <v>42.55</v>
      </c>
      <c r="O548" s="9">
        <f t="shared" si="95"/>
        <v>92.4</v>
      </c>
    </row>
    <row r="549" spans="1:15" x14ac:dyDescent="0.2">
      <c r="A549" s="4"/>
      <c r="H549" s="2" t="s">
        <v>2726</v>
      </c>
      <c r="J549" s="7"/>
      <c r="K549" s="7"/>
      <c r="L549" s="7"/>
      <c r="M549" s="7"/>
      <c r="N549" s="9"/>
      <c r="O549" s="9"/>
    </row>
    <row r="550" spans="1:15" x14ac:dyDescent="0.2">
      <c r="A550" s="1" t="s">
        <v>15</v>
      </c>
      <c r="H550" s="2" t="s">
        <v>2726</v>
      </c>
      <c r="J550" s="7"/>
      <c r="K550" s="7"/>
      <c r="L550" s="7"/>
      <c r="M550" s="7"/>
      <c r="N550" s="9"/>
      <c r="O550" s="9"/>
    </row>
    <row r="551" spans="1:15" x14ac:dyDescent="0.2">
      <c r="A551" s="4"/>
      <c r="H551" s="2" t="s">
        <v>2726</v>
      </c>
      <c r="J551" s="7"/>
      <c r="K551" s="7"/>
      <c r="L551" s="7"/>
      <c r="M551" s="7"/>
      <c r="N551" s="9"/>
      <c r="O551" s="9"/>
    </row>
    <row r="552" spans="1:15" x14ac:dyDescent="0.2">
      <c r="A552" s="1" t="s">
        <v>1138</v>
      </c>
      <c r="B552" s="2">
        <v>37.67</v>
      </c>
      <c r="C552" s="2">
        <v>95.48</v>
      </c>
      <c r="D552" s="2" t="s">
        <v>1139</v>
      </c>
      <c r="H552" s="2" t="s">
        <v>3172</v>
      </c>
      <c r="J552" s="7" t="str">
        <f t="shared" si="90"/>
        <v>Chanute</v>
      </c>
      <c r="K552" s="7" t="str">
        <f t="shared" si="91"/>
        <v xml:space="preserve">KS  </v>
      </c>
      <c r="L552" s="7" t="str">
        <f t="shared" ref="L552:L575" si="96">LEFT(K552,LEN(K552)-1)</f>
        <v xml:space="preserve">KS </v>
      </c>
      <c r="M552" s="7" t="str">
        <f t="shared" ref="M552:M575" si="97">SUBSTITUTE(L552,",","")</f>
        <v xml:space="preserve">KS </v>
      </c>
      <c r="N552" s="9">
        <f t="shared" ref="N552:N575" si="98">B552</f>
        <v>37.67</v>
      </c>
      <c r="O552" s="9">
        <f t="shared" ref="O552:O575" si="99">C552</f>
        <v>95.48</v>
      </c>
    </row>
    <row r="553" spans="1:15" x14ac:dyDescent="0.2">
      <c r="A553" s="1" t="s">
        <v>1140</v>
      </c>
      <c r="B553" s="2">
        <v>37.75</v>
      </c>
      <c r="C553" s="2">
        <v>97.22</v>
      </c>
      <c r="D553" s="2" t="s">
        <v>1141</v>
      </c>
      <c r="E553" s="2" t="s">
        <v>1142</v>
      </c>
      <c r="F553" s="2" t="s">
        <v>1143</v>
      </c>
      <c r="H553" s="2" t="s">
        <v>3173</v>
      </c>
      <c r="J553" s="7" t="str">
        <f t="shared" si="90"/>
        <v>Col. J Jab</v>
      </c>
      <c r="K553" s="7" t="str">
        <f t="shared" si="91"/>
        <v>r,KS</v>
      </c>
      <c r="L553" s="7" t="str">
        <f t="shared" si="96"/>
        <v>r,K</v>
      </c>
      <c r="M553" s="7" t="str">
        <f t="shared" si="97"/>
        <v>rK</v>
      </c>
      <c r="N553" s="9">
        <f t="shared" si="98"/>
        <v>37.75</v>
      </c>
      <c r="O553" s="9">
        <f t="shared" si="99"/>
        <v>97.22</v>
      </c>
    </row>
    <row r="554" spans="1:15" x14ac:dyDescent="0.2">
      <c r="A554" s="1" t="s">
        <v>1144</v>
      </c>
      <c r="B554" s="2">
        <v>39.549999999999997</v>
      </c>
      <c r="C554" s="2">
        <v>97.65</v>
      </c>
      <c r="D554" s="2" t="s">
        <v>1145</v>
      </c>
      <c r="H554" s="2" t="s">
        <v>3174</v>
      </c>
      <c r="J554" s="7" t="str">
        <f t="shared" si="90"/>
        <v>Concordia</v>
      </c>
      <c r="K554" s="7" t="str">
        <f t="shared" si="91"/>
        <v xml:space="preserve">KS  </v>
      </c>
      <c r="L554" s="7" t="str">
        <f t="shared" si="96"/>
        <v xml:space="preserve">KS </v>
      </c>
      <c r="M554" s="7" t="str">
        <f t="shared" si="97"/>
        <v xml:space="preserve">KS </v>
      </c>
      <c r="N554" s="9">
        <f t="shared" si="98"/>
        <v>39.549999999999997</v>
      </c>
      <c r="O554" s="9">
        <f t="shared" si="99"/>
        <v>97.65</v>
      </c>
    </row>
    <row r="555" spans="1:15" x14ac:dyDescent="0.2">
      <c r="A555" s="1" t="s">
        <v>1146</v>
      </c>
      <c r="B555" s="2">
        <v>37.770000000000003</v>
      </c>
      <c r="C555" s="2">
        <v>99.97</v>
      </c>
      <c r="D555" s="2" t="s">
        <v>1147</v>
      </c>
      <c r="E555" s="2" t="s">
        <v>1148</v>
      </c>
      <c r="H555" s="2" t="s">
        <v>3175</v>
      </c>
      <c r="J555" s="7" t="str">
        <f t="shared" si="90"/>
        <v>Dodge Cit</v>
      </c>
      <c r="K555" s="7" t="str">
        <f t="shared" si="91"/>
        <v xml:space="preserve">,KS </v>
      </c>
      <c r="L555" s="7" t="str">
        <f t="shared" si="96"/>
        <v>,KS</v>
      </c>
      <c r="M555" s="7" t="str">
        <f t="shared" si="97"/>
        <v>KS</v>
      </c>
      <c r="N555" s="9">
        <f t="shared" si="98"/>
        <v>37.770000000000003</v>
      </c>
      <c r="O555" s="9">
        <f t="shared" si="99"/>
        <v>99.97</v>
      </c>
    </row>
    <row r="556" spans="1:15" x14ac:dyDescent="0.2">
      <c r="A556" s="1" t="s">
        <v>1149</v>
      </c>
      <c r="B556" s="2">
        <v>37</v>
      </c>
      <c r="C556" s="2">
        <v>101.88</v>
      </c>
      <c r="D556" s="2" t="s">
        <v>1150</v>
      </c>
      <c r="H556" s="2" t="s">
        <v>3176</v>
      </c>
      <c r="J556" s="7" t="str">
        <f t="shared" si="90"/>
        <v>Elkhart</v>
      </c>
      <c r="K556" s="7" t="str">
        <f t="shared" si="91"/>
        <v xml:space="preserve">KS  </v>
      </c>
      <c r="L556" s="7" t="str">
        <f t="shared" si="96"/>
        <v xml:space="preserve">KS </v>
      </c>
      <c r="M556" s="7" t="str">
        <f t="shared" si="97"/>
        <v xml:space="preserve">KS </v>
      </c>
      <c r="N556" s="9">
        <f t="shared" si="98"/>
        <v>37</v>
      </c>
      <c r="O556" s="9">
        <f t="shared" si="99"/>
        <v>101.88</v>
      </c>
    </row>
    <row r="557" spans="1:15" x14ac:dyDescent="0.2">
      <c r="A557" s="1" t="s">
        <v>1151</v>
      </c>
      <c r="B557" s="2">
        <v>38.33</v>
      </c>
      <c r="C557" s="2">
        <v>96.2</v>
      </c>
      <c r="D557" s="2" t="s">
        <v>1152</v>
      </c>
      <c r="H557" s="2" t="s">
        <v>3177</v>
      </c>
      <c r="J557" s="7" t="str">
        <f t="shared" si="90"/>
        <v>Emporia</v>
      </c>
      <c r="K557" s="7" t="str">
        <f t="shared" si="91"/>
        <v xml:space="preserve">KS  </v>
      </c>
      <c r="L557" s="7" t="str">
        <f t="shared" si="96"/>
        <v xml:space="preserve">KS </v>
      </c>
      <c r="M557" s="7" t="str">
        <f t="shared" si="97"/>
        <v xml:space="preserve">KS </v>
      </c>
      <c r="N557" s="9">
        <f t="shared" si="98"/>
        <v>38.33</v>
      </c>
      <c r="O557" s="9">
        <f t="shared" si="99"/>
        <v>96.2</v>
      </c>
    </row>
    <row r="558" spans="1:15" x14ac:dyDescent="0.2">
      <c r="A558" s="1" t="s">
        <v>1153</v>
      </c>
      <c r="B558" s="2">
        <v>39.369999999999997</v>
      </c>
      <c r="C558" s="2">
        <v>94.92</v>
      </c>
      <c r="D558" s="2" t="s">
        <v>401</v>
      </c>
      <c r="E558" s="2" t="s">
        <v>1154</v>
      </c>
      <c r="H558" s="2" t="s">
        <v>3178</v>
      </c>
      <c r="J558" s="7" t="str">
        <f t="shared" si="90"/>
        <v>Ft Leavnwrt</v>
      </c>
      <c r="K558" s="7" t="str">
        <f t="shared" si="91"/>
        <v xml:space="preserve">,KS </v>
      </c>
      <c r="L558" s="7" t="str">
        <f t="shared" si="96"/>
        <v>,KS</v>
      </c>
      <c r="M558" s="7" t="str">
        <f t="shared" si="97"/>
        <v>KS</v>
      </c>
      <c r="N558" s="9">
        <f t="shared" si="98"/>
        <v>39.369999999999997</v>
      </c>
      <c r="O558" s="9">
        <f t="shared" si="99"/>
        <v>94.92</v>
      </c>
    </row>
    <row r="559" spans="1:15" x14ac:dyDescent="0.2">
      <c r="A559" s="1" t="s">
        <v>1155</v>
      </c>
      <c r="B559" s="2">
        <v>39.049999999999997</v>
      </c>
      <c r="C559" s="2">
        <v>96.77</v>
      </c>
      <c r="D559" s="2" t="s">
        <v>401</v>
      </c>
      <c r="E559" s="2" t="s">
        <v>1156</v>
      </c>
      <c r="H559" s="2" t="s">
        <v>3179</v>
      </c>
      <c r="J559" s="7" t="str">
        <f t="shared" si="90"/>
        <v>Ft Rile</v>
      </c>
      <c r="K559" s="7" t="str">
        <f t="shared" si="91"/>
        <v xml:space="preserve">,KS </v>
      </c>
      <c r="L559" s="7" t="str">
        <f t="shared" si="96"/>
        <v>,KS</v>
      </c>
      <c r="M559" s="7" t="str">
        <f t="shared" si="97"/>
        <v>KS</v>
      </c>
      <c r="N559" s="9">
        <f t="shared" si="98"/>
        <v>39.049999999999997</v>
      </c>
      <c r="O559" s="9">
        <f t="shared" si="99"/>
        <v>96.77</v>
      </c>
    </row>
    <row r="560" spans="1:15" x14ac:dyDescent="0.2">
      <c r="A560" s="1" t="s">
        <v>1157</v>
      </c>
      <c r="B560" s="2">
        <v>37.93</v>
      </c>
      <c r="C560" s="2">
        <v>100.72</v>
      </c>
      <c r="D560" s="2" t="s">
        <v>1158</v>
      </c>
      <c r="E560" s="2" t="s">
        <v>1148</v>
      </c>
      <c r="H560" s="2" t="s">
        <v>3180</v>
      </c>
      <c r="J560" s="7" t="str">
        <f t="shared" si="90"/>
        <v>Garden Cit</v>
      </c>
      <c r="K560" s="7" t="str">
        <f t="shared" si="91"/>
        <v xml:space="preserve">,KS </v>
      </c>
      <c r="L560" s="7" t="str">
        <f t="shared" si="96"/>
        <v>,KS</v>
      </c>
      <c r="M560" s="7" t="str">
        <f t="shared" si="97"/>
        <v>KS</v>
      </c>
      <c r="N560" s="9">
        <f t="shared" si="98"/>
        <v>37.93</v>
      </c>
      <c r="O560" s="9">
        <f t="shared" si="99"/>
        <v>100.72</v>
      </c>
    </row>
    <row r="561" spans="1:15" x14ac:dyDescent="0.2">
      <c r="A561" s="1" t="s">
        <v>1159</v>
      </c>
      <c r="B561" s="2">
        <v>39.369999999999997</v>
      </c>
      <c r="C561" s="2">
        <v>101.7</v>
      </c>
      <c r="D561" s="2" t="s">
        <v>1160</v>
      </c>
      <c r="H561" s="2" t="s">
        <v>3181</v>
      </c>
      <c r="J561" s="7" t="str">
        <f t="shared" si="90"/>
        <v>Goodland</v>
      </c>
      <c r="K561" s="7" t="str">
        <f t="shared" si="91"/>
        <v xml:space="preserve">KS  </v>
      </c>
      <c r="L561" s="7" t="str">
        <f t="shared" si="96"/>
        <v xml:space="preserve">KS </v>
      </c>
      <c r="M561" s="7" t="str">
        <f t="shared" si="97"/>
        <v xml:space="preserve">KS </v>
      </c>
      <c r="N561" s="9">
        <f t="shared" si="98"/>
        <v>39.369999999999997</v>
      </c>
      <c r="O561" s="9">
        <f t="shared" si="99"/>
        <v>101.7</v>
      </c>
    </row>
    <row r="562" spans="1:15" x14ac:dyDescent="0.2">
      <c r="A562" s="1" t="s">
        <v>1161</v>
      </c>
      <c r="B562" s="2">
        <v>38.85</v>
      </c>
      <c r="C562" s="2">
        <v>99.27</v>
      </c>
      <c r="D562" s="2" t="s">
        <v>1162</v>
      </c>
      <c r="H562" s="2" t="s">
        <v>3182</v>
      </c>
      <c r="J562" s="7" t="str">
        <f t="shared" si="90"/>
        <v>Hays</v>
      </c>
      <c r="K562" s="7" t="str">
        <f t="shared" si="91"/>
        <v xml:space="preserve">KS  </v>
      </c>
      <c r="L562" s="7" t="str">
        <f t="shared" si="96"/>
        <v xml:space="preserve">KS </v>
      </c>
      <c r="M562" s="7" t="str">
        <f t="shared" si="97"/>
        <v xml:space="preserve">KS </v>
      </c>
      <c r="N562" s="9">
        <f t="shared" si="98"/>
        <v>38.85</v>
      </c>
      <c r="O562" s="9">
        <f t="shared" si="99"/>
        <v>99.27</v>
      </c>
    </row>
    <row r="563" spans="1:15" x14ac:dyDescent="0.2">
      <c r="A563" s="1" t="s">
        <v>1163</v>
      </c>
      <c r="B563" s="2">
        <v>39.380000000000003</v>
      </c>
      <c r="C563" s="2">
        <v>99.83</v>
      </c>
      <c r="D563" s="2" t="s">
        <v>1164</v>
      </c>
      <c r="E563" s="2" t="s">
        <v>1148</v>
      </c>
      <c r="H563" s="2" t="s">
        <v>3183</v>
      </c>
      <c r="J563" s="7" t="str">
        <f t="shared" si="90"/>
        <v>Hill Cit</v>
      </c>
      <c r="K563" s="7" t="str">
        <f t="shared" si="91"/>
        <v xml:space="preserve">,KS </v>
      </c>
      <c r="L563" s="7" t="str">
        <f t="shared" si="96"/>
        <v>,KS</v>
      </c>
      <c r="M563" s="7" t="str">
        <f t="shared" si="97"/>
        <v>KS</v>
      </c>
      <c r="N563" s="9">
        <f t="shared" si="98"/>
        <v>39.380000000000003</v>
      </c>
      <c r="O563" s="9">
        <f t="shared" si="99"/>
        <v>99.83</v>
      </c>
    </row>
    <row r="564" spans="1:15" x14ac:dyDescent="0.2">
      <c r="A564" s="1" t="s">
        <v>1165</v>
      </c>
      <c r="B564" s="2">
        <v>38.07</v>
      </c>
      <c r="C564" s="2">
        <v>97.87</v>
      </c>
      <c r="D564" s="2" t="s">
        <v>1166</v>
      </c>
      <c r="H564" s="2" t="s">
        <v>3184</v>
      </c>
      <c r="J564" s="7" t="str">
        <f t="shared" si="90"/>
        <v>Hutchinson</v>
      </c>
      <c r="K564" s="7" t="str">
        <f t="shared" si="91"/>
        <v xml:space="preserve">KS  </v>
      </c>
      <c r="L564" s="7" t="str">
        <f t="shared" si="96"/>
        <v xml:space="preserve">KS </v>
      </c>
      <c r="M564" s="7" t="str">
        <f t="shared" si="97"/>
        <v xml:space="preserve">KS </v>
      </c>
      <c r="N564" s="9">
        <f t="shared" si="98"/>
        <v>38.07</v>
      </c>
      <c r="O564" s="9">
        <f t="shared" si="99"/>
        <v>97.87</v>
      </c>
    </row>
    <row r="565" spans="1:15" x14ac:dyDescent="0.2">
      <c r="A565" s="1" t="s">
        <v>1167</v>
      </c>
      <c r="B565" s="2">
        <v>38.82</v>
      </c>
      <c r="C565" s="2">
        <v>94.88</v>
      </c>
      <c r="D565" s="2" t="s">
        <v>1168</v>
      </c>
      <c r="E565" s="2" t="s">
        <v>1169</v>
      </c>
      <c r="H565" s="2" t="s">
        <v>3185</v>
      </c>
      <c r="J565" s="7" t="str">
        <f t="shared" si="90"/>
        <v>Johnson Cnt</v>
      </c>
      <c r="K565" s="7" t="str">
        <f t="shared" si="91"/>
        <v xml:space="preserve">,KS </v>
      </c>
      <c r="L565" s="7" t="str">
        <f t="shared" si="96"/>
        <v>,KS</v>
      </c>
      <c r="M565" s="7" t="str">
        <f t="shared" si="97"/>
        <v>KS</v>
      </c>
      <c r="N565" s="9">
        <f t="shared" si="98"/>
        <v>38.82</v>
      </c>
      <c r="O565" s="9">
        <f t="shared" si="99"/>
        <v>94.88</v>
      </c>
    </row>
    <row r="566" spans="1:15" x14ac:dyDescent="0.2">
      <c r="A566" s="1" t="s">
        <v>1170</v>
      </c>
      <c r="B566" s="2">
        <v>37.049999999999997</v>
      </c>
      <c r="C566" s="2">
        <v>100.97</v>
      </c>
      <c r="D566" s="2" t="s">
        <v>1171</v>
      </c>
      <c r="H566" s="2" t="s">
        <v>3186</v>
      </c>
      <c r="J566" s="7" t="str">
        <f t="shared" si="90"/>
        <v>Liberal</v>
      </c>
      <c r="K566" s="7" t="str">
        <f t="shared" si="91"/>
        <v xml:space="preserve">KS  </v>
      </c>
      <c r="L566" s="7" t="str">
        <f t="shared" si="96"/>
        <v xml:space="preserve">KS </v>
      </c>
      <c r="M566" s="7" t="str">
        <f t="shared" si="97"/>
        <v xml:space="preserve">KS </v>
      </c>
      <c r="N566" s="9">
        <f t="shared" si="98"/>
        <v>37.049999999999997</v>
      </c>
      <c r="O566" s="9">
        <f t="shared" si="99"/>
        <v>100.97</v>
      </c>
    </row>
    <row r="567" spans="1:15" x14ac:dyDescent="0.2">
      <c r="A567" s="1" t="s">
        <v>1172</v>
      </c>
      <c r="B567" s="2">
        <v>39.15</v>
      </c>
      <c r="C567" s="2">
        <v>96.67</v>
      </c>
      <c r="D567" s="2" t="s">
        <v>1173</v>
      </c>
      <c r="H567" s="2" t="s">
        <v>3187</v>
      </c>
      <c r="J567" s="7" t="str">
        <f t="shared" si="90"/>
        <v>Manhatten</v>
      </c>
      <c r="K567" s="7" t="str">
        <f t="shared" si="91"/>
        <v xml:space="preserve">KS  </v>
      </c>
      <c r="L567" s="7" t="str">
        <f t="shared" si="96"/>
        <v xml:space="preserve">KS </v>
      </c>
      <c r="M567" s="7" t="str">
        <f t="shared" si="97"/>
        <v xml:space="preserve">KS </v>
      </c>
      <c r="N567" s="9">
        <f t="shared" si="98"/>
        <v>39.15</v>
      </c>
      <c r="O567" s="9">
        <f t="shared" si="99"/>
        <v>96.67</v>
      </c>
    </row>
    <row r="568" spans="1:15" x14ac:dyDescent="0.2">
      <c r="A568" s="1" t="s">
        <v>1174</v>
      </c>
      <c r="B568" s="2">
        <v>37.619999999999997</v>
      </c>
      <c r="C568" s="2">
        <v>97.27</v>
      </c>
      <c r="D568" s="2" t="s">
        <v>1175</v>
      </c>
      <c r="E568" s="2" t="s">
        <v>1176</v>
      </c>
      <c r="H568" s="2" t="s">
        <v>3188</v>
      </c>
      <c r="J568" s="7" t="str">
        <f t="shared" si="90"/>
        <v>Mcconnell A</v>
      </c>
      <c r="K568" s="7" t="str">
        <f t="shared" si="91"/>
        <v xml:space="preserve">,KS </v>
      </c>
      <c r="L568" s="7" t="str">
        <f t="shared" si="96"/>
        <v>,KS</v>
      </c>
      <c r="M568" s="7" t="str">
        <f t="shared" si="97"/>
        <v>KS</v>
      </c>
      <c r="N568" s="9">
        <f t="shared" si="98"/>
        <v>37.619999999999997</v>
      </c>
      <c r="O568" s="9">
        <f t="shared" si="99"/>
        <v>97.27</v>
      </c>
    </row>
    <row r="569" spans="1:15" x14ac:dyDescent="0.2">
      <c r="A569" s="1" t="s">
        <v>1177</v>
      </c>
      <c r="B569" s="2">
        <v>37.299999999999997</v>
      </c>
      <c r="C569" s="2">
        <v>98.58</v>
      </c>
      <c r="D569" s="2" t="s">
        <v>1178</v>
      </c>
      <c r="E569" s="2" t="s">
        <v>1179</v>
      </c>
      <c r="H569" s="2" t="s">
        <v>3189</v>
      </c>
      <c r="J569" s="7" t="str">
        <f t="shared" si="90"/>
        <v>Medicine Ld</v>
      </c>
      <c r="K569" s="7" t="str">
        <f t="shared" si="91"/>
        <v xml:space="preserve">,KS </v>
      </c>
      <c r="L569" s="7" t="str">
        <f t="shared" si="96"/>
        <v>,KS</v>
      </c>
      <c r="M569" s="7" t="str">
        <f t="shared" si="97"/>
        <v>KS</v>
      </c>
      <c r="N569" s="9">
        <f t="shared" si="98"/>
        <v>37.299999999999997</v>
      </c>
      <c r="O569" s="9">
        <f t="shared" si="99"/>
        <v>98.58</v>
      </c>
    </row>
    <row r="570" spans="1:15" x14ac:dyDescent="0.2">
      <c r="A570" s="1" t="s">
        <v>1180</v>
      </c>
      <c r="B570" s="2">
        <v>38.85</v>
      </c>
      <c r="C570" s="2">
        <v>94.9</v>
      </c>
      <c r="D570" s="2" t="s">
        <v>1181</v>
      </c>
      <c r="H570" s="2" t="s">
        <v>3190</v>
      </c>
      <c r="J570" s="7" t="str">
        <f t="shared" si="90"/>
        <v>Olathe</v>
      </c>
      <c r="K570" s="7" t="str">
        <f t="shared" si="91"/>
        <v xml:space="preserve">KS  </v>
      </c>
      <c r="L570" s="7" t="str">
        <f t="shared" si="96"/>
        <v xml:space="preserve">KS </v>
      </c>
      <c r="M570" s="7" t="str">
        <f t="shared" si="97"/>
        <v xml:space="preserve">KS </v>
      </c>
      <c r="N570" s="9">
        <f t="shared" si="98"/>
        <v>38.85</v>
      </c>
      <c r="O570" s="9">
        <f t="shared" si="99"/>
        <v>94.9</v>
      </c>
    </row>
    <row r="571" spans="1:15" x14ac:dyDescent="0.2">
      <c r="A571" s="1" t="s">
        <v>1182</v>
      </c>
      <c r="B571" s="2">
        <v>38.869999999999997</v>
      </c>
      <c r="C571" s="2">
        <v>98.82</v>
      </c>
      <c r="D571" s="2" t="s">
        <v>1183</v>
      </c>
      <c r="H571" s="2" t="s">
        <v>3191</v>
      </c>
      <c r="J571" s="7" t="str">
        <f t="shared" si="90"/>
        <v>Russell</v>
      </c>
      <c r="K571" s="7" t="str">
        <f t="shared" si="91"/>
        <v xml:space="preserve">KS  </v>
      </c>
      <c r="L571" s="7" t="str">
        <f t="shared" si="96"/>
        <v xml:space="preserve">KS </v>
      </c>
      <c r="M571" s="7" t="str">
        <f t="shared" si="97"/>
        <v xml:space="preserve">KS </v>
      </c>
      <c r="N571" s="9">
        <f t="shared" si="98"/>
        <v>38.869999999999997</v>
      </c>
      <c r="O571" s="9">
        <f t="shared" si="99"/>
        <v>98.82</v>
      </c>
    </row>
    <row r="572" spans="1:15" x14ac:dyDescent="0.2">
      <c r="A572" s="1" t="s">
        <v>1184</v>
      </c>
      <c r="B572" s="2">
        <v>38.799999999999997</v>
      </c>
      <c r="C572" s="2">
        <v>97.65</v>
      </c>
      <c r="D572" s="2" t="s">
        <v>1185</v>
      </c>
      <c r="H572" s="2" t="s">
        <v>3192</v>
      </c>
      <c r="J572" s="7" t="str">
        <f t="shared" si="90"/>
        <v>Salina</v>
      </c>
      <c r="K572" s="7" t="str">
        <f t="shared" si="91"/>
        <v xml:space="preserve">KS  </v>
      </c>
      <c r="L572" s="7" t="str">
        <f t="shared" si="96"/>
        <v xml:space="preserve">KS </v>
      </c>
      <c r="M572" s="7" t="str">
        <f t="shared" si="97"/>
        <v xml:space="preserve">KS </v>
      </c>
      <c r="N572" s="9">
        <f t="shared" si="98"/>
        <v>38.799999999999997</v>
      </c>
      <c r="O572" s="9">
        <f t="shared" si="99"/>
        <v>97.65</v>
      </c>
    </row>
    <row r="573" spans="1:15" x14ac:dyDescent="0.2">
      <c r="A573" s="1" t="s">
        <v>1186</v>
      </c>
      <c r="B573" s="2">
        <v>39.07</v>
      </c>
      <c r="C573" s="2">
        <v>95.62</v>
      </c>
      <c r="D573" s="2" t="s">
        <v>1187</v>
      </c>
      <c r="H573" s="2" t="s">
        <v>3193</v>
      </c>
      <c r="J573" s="7" t="str">
        <f t="shared" si="90"/>
        <v>Topeka</v>
      </c>
      <c r="K573" s="7" t="str">
        <f t="shared" si="91"/>
        <v xml:space="preserve">KS  </v>
      </c>
      <c r="L573" s="7" t="str">
        <f t="shared" si="96"/>
        <v xml:space="preserve">KS </v>
      </c>
      <c r="M573" s="7" t="str">
        <f t="shared" si="97"/>
        <v xml:space="preserve">KS </v>
      </c>
      <c r="N573" s="9">
        <f t="shared" si="98"/>
        <v>39.07</v>
      </c>
      <c r="O573" s="9">
        <f t="shared" si="99"/>
        <v>95.62</v>
      </c>
    </row>
    <row r="574" spans="1:15" x14ac:dyDescent="0.2">
      <c r="A574" s="1" t="s">
        <v>1188</v>
      </c>
      <c r="B574" s="2">
        <v>38.950000000000003</v>
      </c>
      <c r="C574" s="2">
        <v>95.67</v>
      </c>
      <c r="D574" s="2" t="s">
        <v>1189</v>
      </c>
      <c r="H574" s="2" t="s">
        <v>3194</v>
      </c>
      <c r="J574" s="7" t="str">
        <f t="shared" si="90"/>
        <v>Topeka/Forbe</v>
      </c>
      <c r="K574" s="7" t="str">
        <f t="shared" si="91"/>
        <v xml:space="preserve">KS  </v>
      </c>
      <c r="L574" s="7" t="str">
        <f t="shared" si="96"/>
        <v xml:space="preserve">KS </v>
      </c>
      <c r="M574" s="7" t="str">
        <f t="shared" si="97"/>
        <v xml:space="preserve">KS </v>
      </c>
      <c r="N574" s="9">
        <f t="shared" si="98"/>
        <v>38.950000000000003</v>
      </c>
      <c r="O574" s="9">
        <f t="shared" si="99"/>
        <v>95.67</v>
      </c>
    </row>
    <row r="575" spans="1:15" x14ac:dyDescent="0.2">
      <c r="A575" s="1" t="s">
        <v>1190</v>
      </c>
      <c r="B575" s="2">
        <v>37.65</v>
      </c>
      <c r="C575" s="2">
        <v>97.43</v>
      </c>
      <c r="D575" s="2" t="s">
        <v>1191</v>
      </c>
      <c r="H575" s="2" t="s">
        <v>3195</v>
      </c>
      <c r="J575" s="7" t="str">
        <f t="shared" si="90"/>
        <v>Wichita</v>
      </c>
      <c r="K575" s="7" t="str">
        <f t="shared" si="91"/>
        <v xml:space="preserve">KS  </v>
      </c>
      <c r="L575" s="7" t="str">
        <f t="shared" si="96"/>
        <v xml:space="preserve">KS </v>
      </c>
      <c r="M575" s="7" t="str">
        <f t="shared" si="97"/>
        <v xml:space="preserve">KS </v>
      </c>
      <c r="N575" s="9">
        <f t="shared" si="98"/>
        <v>37.65</v>
      </c>
      <c r="O575" s="9">
        <f t="shared" si="99"/>
        <v>97.43</v>
      </c>
    </row>
    <row r="576" spans="1:15" x14ac:dyDescent="0.2">
      <c r="A576" s="4"/>
      <c r="H576" s="2" t="s">
        <v>2726</v>
      </c>
      <c r="J576" s="7"/>
      <c r="K576" s="7"/>
      <c r="L576" s="7"/>
      <c r="M576" s="7"/>
      <c r="N576" s="9"/>
      <c r="O576" s="9"/>
    </row>
    <row r="577" spans="1:15" x14ac:dyDescent="0.2">
      <c r="A577" s="1" t="s">
        <v>16</v>
      </c>
      <c r="H577" s="2" t="s">
        <v>2726</v>
      </c>
      <c r="J577" s="7"/>
      <c r="K577" s="7"/>
      <c r="L577" s="7"/>
      <c r="M577" s="7"/>
      <c r="N577" s="9"/>
      <c r="O577" s="9"/>
    </row>
    <row r="578" spans="1:15" x14ac:dyDescent="0.2">
      <c r="A578" s="4"/>
      <c r="H578" s="2" t="s">
        <v>2726</v>
      </c>
      <c r="J578" s="7"/>
      <c r="K578" s="7"/>
      <c r="L578" s="7"/>
      <c r="M578" s="7"/>
      <c r="N578" s="9"/>
      <c r="O578" s="9"/>
    </row>
    <row r="579" spans="1:15" x14ac:dyDescent="0.2">
      <c r="A579" s="1" t="s">
        <v>1192</v>
      </c>
      <c r="B579" s="2">
        <v>36.97</v>
      </c>
      <c r="C579" s="2">
        <v>86.43</v>
      </c>
      <c r="D579" s="2" t="s">
        <v>1193</v>
      </c>
      <c r="E579" s="2" t="s">
        <v>1194</v>
      </c>
      <c r="H579" s="2" t="s">
        <v>3196</v>
      </c>
      <c r="J579" s="7" t="str">
        <f t="shared" si="90"/>
        <v>Bowling Gre</v>
      </c>
      <c r="K579" s="7" t="str">
        <f t="shared" si="91"/>
        <v xml:space="preserve">,KY </v>
      </c>
      <c r="L579" s="7" t="str">
        <f t="shared" ref="L579:L589" si="100">LEFT(K579,LEN(K579)-1)</f>
        <v>,KY</v>
      </c>
      <c r="M579" s="7" t="str">
        <f t="shared" ref="M579:M589" si="101">SUBSTITUTE(L579,",","")</f>
        <v>KY</v>
      </c>
      <c r="N579" s="9">
        <f t="shared" ref="N579:N589" si="102">B579</f>
        <v>36.97</v>
      </c>
      <c r="O579" s="9">
        <f t="shared" ref="O579:O589" si="103">C579</f>
        <v>86.43</v>
      </c>
    </row>
    <row r="580" spans="1:15" x14ac:dyDescent="0.2">
      <c r="A580" s="1" t="s">
        <v>1195</v>
      </c>
      <c r="B580" s="2">
        <v>36.67</v>
      </c>
      <c r="C580" s="2">
        <v>87.5</v>
      </c>
      <c r="D580" s="2" t="s">
        <v>401</v>
      </c>
      <c r="E580" s="2" t="s">
        <v>1196</v>
      </c>
      <c r="H580" s="2" t="s">
        <v>3197</v>
      </c>
      <c r="J580" s="7" t="str">
        <f t="shared" si="90"/>
        <v>Ft Campbel</v>
      </c>
      <c r="K580" s="7" t="str">
        <f t="shared" si="91"/>
        <v xml:space="preserve">,KY </v>
      </c>
      <c r="L580" s="7" t="str">
        <f t="shared" si="100"/>
        <v>,KY</v>
      </c>
      <c r="M580" s="7" t="str">
        <f t="shared" si="101"/>
        <v>KY</v>
      </c>
      <c r="N580" s="9">
        <f t="shared" si="102"/>
        <v>36.67</v>
      </c>
      <c r="O580" s="9">
        <f t="shared" si="103"/>
        <v>87.5</v>
      </c>
    </row>
    <row r="581" spans="1:15" x14ac:dyDescent="0.2">
      <c r="A581" s="1" t="s">
        <v>1197</v>
      </c>
      <c r="B581" s="2">
        <v>37.9</v>
      </c>
      <c r="C581" s="2">
        <v>85.97</v>
      </c>
      <c r="D581" s="2" t="s">
        <v>401</v>
      </c>
      <c r="E581" s="2" t="s">
        <v>1198</v>
      </c>
      <c r="H581" s="2" t="s">
        <v>3198</v>
      </c>
      <c r="J581" s="7" t="str">
        <f t="shared" si="90"/>
        <v>Ft Kno</v>
      </c>
      <c r="K581" s="7" t="str">
        <f t="shared" si="91"/>
        <v xml:space="preserve">,KY </v>
      </c>
      <c r="L581" s="7" t="str">
        <f t="shared" si="100"/>
        <v>,KY</v>
      </c>
      <c r="M581" s="7" t="str">
        <f t="shared" si="101"/>
        <v>KY</v>
      </c>
      <c r="N581" s="9">
        <f t="shared" si="102"/>
        <v>37.9</v>
      </c>
      <c r="O581" s="9">
        <f t="shared" si="103"/>
        <v>85.97</v>
      </c>
    </row>
    <row r="582" spans="1:15" x14ac:dyDescent="0.2">
      <c r="A582" s="1" t="s">
        <v>1199</v>
      </c>
      <c r="B582" s="2">
        <v>37.6</v>
      </c>
      <c r="C582" s="2">
        <v>83.32</v>
      </c>
      <c r="D582" s="2" t="s">
        <v>1200</v>
      </c>
      <c r="H582" s="2" t="s">
        <v>3199</v>
      </c>
      <c r="J582" s="7" t="str">
        <f t="shared" si="90"/>
        <v>Jackson</v>
      </c>
      <c r="K582" s="7" t="str">
        <f t="shared" si="91"/>
        <v xml:space="preserve">KY  </v>
      </c>
      <c r="L582" s="7" t="str">
        <f t="shared" si="100"/>
        <v xml:space="preserve">KY </v>
      </c>
      <c r="M582" s="7" t="str">
        <f t="shared" si="101"/>
        <v xml:space="preserve">KY </v>
      </c>
      <c r="N582" s="9">
        <f t="shared" si="102"/>
        <v>37.6</v>
      </c>
      <c r="O582" s="9">
        <f t="shared" si="103"/>
        <v>83.32</v>
      </c>
    </row>
    <row r="583" spans="1:15" x14ac:dyDescent="0.2">
      <c r="A583" s="1" t="s">
        <v>1201</v>
      </c>
      <c r="B583" s="2">
        <v>38.049999999999997</v>
      </c>
      <c r="C583" s="2">
        <v>85</v>
      </c>
      <c r="D583" s="2" t="s">
        <v>1202</v>
      </c>
      <c r="H583" s="2" t="s">
        <v>3200</v>
      </c>
      <c r="J583" s="7" t="str">
        <f t="shared" si="90"/>
        <v>Lexington</v>
      </c>
      <c r="K583" s="7" t="str">
        <f t="shared" si="91"/>
        <v xml:space="preserve">KY  </v>
      </c>
      <c r="L583" s="7" t="str">
        <f t="shared" si="100"/>
        <v xml:space="preserve">KY </v>
      </c>
      <c r="M583" s="7" t="str">
        <f t="shared" si="101"/>
        <v xml:space="preserve">KY </v>
      </c>
      <c r="N583" s="9">
        <f t="shared" si="102"/>
        <v>38.049999999999997</v>
      </c>
      <c r="O583" s="9">
        <f t="shared" si="103"/>
        <v>85</v>
      </c>
    </row>
    <row r="584" spans="1:15" x14ac:dyDescent="0.2">
      <c r="A584" s="1" t="s">
        <v>1203</v>
      </c>
      <c r="B584" s="2">
        <v>37.08</v>
      </c>
      <c r="C584" s="2">
        <v>84.07</v>
      </c>
      <c r="D584" s="2" t="s">
        <v>1204</v>
      </c>
      <c r="H584" s="2" t="s">
        <v>3201</v>
      </c>
      <c r="J584" s="7" t="str">
        <f t="shared" si="90"/>
        <v>London</v>
      </c>
      <c r="K584" s="7" t="str">
        <f t="shared" si="91"/>
        <v xml:space="preserve">KY  </v>
      </c>
      <c r="L584" s="7" t="str">
        <f t="shared" si="100"/>
        <v xml:space="preserve">KY </v>
      </c>
      <c r="M584" s="7" t="str">
        <f t="shared" si="101"/>
        <v xml:space="preserve">KY </v>
      </c>
      <c r="N584" s="9">
        <f t="shared" si="102"/>
        <v>37.08</v>
      </c>
      <c r="O584" s="9">
        <f t="shared" si="103"/>
        <v>84.07</v>
      </c>
    </row>
    <row r="585" spans="1:15" x14ac:dyDescent="0.2">
      <c r="A585" s="1" t="s">
        <v>1205</v>
      </c>
      <c r="B585" s="2">
        <v>38.229999999999997</v>
      </c>
      <c r="C585" s="2">
        <v>85.67</v>
      </c>
      <c r="D585" s="2" t="s">
        <v>1206</v>
      </c>
      <c r="H585" s="2" t="s">
        <v>3202</v>
      </c>
      <c r="J585" s="7" t="str">
        <f t="shared" si="90"/>
        <v>Louisville</v>
      </c>
      <c r="K585" s="7" t="str">
        <f t="shared" si="91"/>
        <v xml:space="preserve">KY  </v>
      </c>
      <c r="L585" s="7" t="str">
        <f t="shared" si="100"/>
        <v xml:space="preserve">KY </v>
      </c>
      <c r="M585" s="7" t="str">
        <f t="shared" si="101"/>
        <v xml:space="preserve">KY </v>
      </c>
      <c r="N585" s="9">
        <f t="shared" si="102"/>
        <v>38.229999999999997</v>
      </c>
      <c r="O585" s="9">
        <f t="shared" si="103"/>
        <v>85.67</v>
      </c>
    </row>
    <row r="586" spans="1:15" x14ac:dyDescent="0.2">
      <c r="A586" s="1" t="s">
        <v>1207</v>
      </c>
      <c r="B586" s="2">
        <v>38.18</v>
      </c>
      <c r="C586" s="2">
        <v>85.73</v>
      </c>
      <c r="D586" s="2" t="s">
        <v>1206</v>
      </c>
      <c r="H586" s="2" t="s">
        <v>3202</v>
      </c>
      <c r="J586" s="7" t="str">
        <f t="shared" si="90"/>
        <v>Louisville</v>
      </c>
      <c r="K586" s="7" t="str">
        <f t="shared" si="91"/>
        <v xml:space="preserve">KY  </v>
      </c>
      <c r="L586" s="7" t="str">
        <f t="shared" si="100"/>
        <v xml:space="preserve">KY </v>
      </c>
      <c r="M586" s="7" t="str">
        <f t="shared" si="101"/>
        <v xml:space="preserve">KY </v>
      </c>
      <c r="N586" s="9">
        <f t="shared" si="102"/>
        <v>38.18</v>
      </c>
      <c r="O586" s="9">
        <f t="shared" si="103"/>
        <v>85.73</v>
      </c>
    </row>
    <row r="587" spans="1:15" x14ac:dyDescent="0.2">
      <c r="A587" s="1" t="s">
        <v>1208</v>
      </c>
      <c r="B587" s="2">
        <v>37.75</v>
      </c>
      <c r="C587" s="2">
        <v>87.17</v>
      </c>
      <c r="D587" s="2" t="s">
        <v>1209</v>
      </c>
      <c r="H587" s="2" t="s">
        <v>3203</v>
      </c>
      <c r="J587" s="7" t="str">
        <f t="shared" si="90"/>
        <v>Owensboro</v>
      </c>
      <c r="K587" s="7" t="str">
        <f t="shared" si="91"/>
        <v xml:space="preserve">KY  </v>
      </c>
      <c r="L587" s="7" t="str">
        <f t="shared" si="100"/>
        <v xml:space="preserve">KY </v>
      </c>
      <c r="M587" s="7" t="str">
        <f t="shared" si="101"/>
        <v xml:space="preserve">KY </v>
      </c>
      <c r="N587" s="9">
        <f t="shared" si="102"/>
        <v>37.75</v>
      </c>
      <c r="O587" s="9">
        <f t="shared" si="103"/>
        <v>87.17</v>
      </c>
    </row>
    <row r="588" spans="1:15" x14ac:dyDescent="0.2">
      <c r="A588" s="1" t="s">
        <v>1210</v>
      </c>
      <c r="B588" s="2">
        <v>37.07</v>
      </c>
      <c r="C588" s="2">
        <v>88.77</v>
      </c>
      <c r="D588" s="2" t="s">
        <v>1211</v>
      </c>
      <c r="H588" s="2" t="s">
        <v>3204</v>
      </c>
      <c r="J588" s="7" t="str">
        <f t="shared" si="90"/>
        <v>Paducah</v>
      </c>
      <c r="K588" s="7" t="str">
        <f t="shared" si="91"/>
        <v xml:space="preserve">KY  </v>
      </c>
      <c r="L588" s="7" t="str">
        <f t="shared" si="100"/>
        <v xml:space="preserve">KY </v>
      </c>
      <c r="M588" s="7" t="str">
        <f t="shared" si="101"/>
        <v xml:space="preserve">KY </v>
      </c>
      <c r="N588" s="9">
        <f t="shared" si="102"/>
        <v>37.07</v>
      </c>
      <c r="O588" s="9">
        <f t="shared" si="103"/>
        <v>88.77</v>
      </c>
    </row>
    <row r="589" spans="1:15" x14ac:dyDescent="0.2">
      <c r="A589" s="1" t="s">
        <v>1212</v>
      </c>
      <c r="B589" s="2">
        <v>37.479999999999997</v>
      </c>
      <c r="C589" s="2">
        <v>82.52</v>
      </c>
      <c r="D589" s="2" t="s">
        <v>1213</v>
      </c>
      <c r="H589" s="2" t="s">
        <v>3205</v>
      </c>
      <c r="J589" s="7" t="str">
        <f t="shared" si="90"/>
        <v>Pikeville</v>
      </c>
      <c r="K589" s="7" t="str">
        <f t="shared" si="91"/>
        <v xml:space="preserve">KY  </v>
      </c>
      <c r="L589" s="7" t="str">
        <f t="shared" si="100"/>
        <v xml:space="preserve">KY </v>
      </c>
      <c r="M589" s="7" t="str">
        <f t="shared" si="101"/>
        <v xml:space="preserve">KY </v>
      </c>
      <c r="N589" s="9">
        <f t="shared" si="102"/>
        <v>37.479999999999997</v>
      </c>
      <c r="O589" s="9">
        <f t="shared" si="103"/>
        <v>82.52</v>
      </c>
    </row>
    <row r="590" spans="1:15" x14ac:dyDescent="0.2">
      <c r="A590" s="4"/>
      <c r="H590" s="2" t="s">
        <v>2726</v>
      </c>
      <c r="J590" s="7"/>
      <c r="K590" s="7"/>
      <c r="L590" s="7"/>
      <c r="M590" s="7"/>
      <c r="N590" s="9"/>
      <c r="O590" s="9"/>
    </row>
    <row r="591" spans="1:15" x14ac:dyDescent="0.2">
      <c r="A591" s="1" t="s">
        <v>17</v>
      </c>
      <c r="H591" s="2" t="s">
        <v>2726</v>
      </c>
      <c r="J591" s="7"/>
      <c r="K591" s="7"/>
      <c r="L591" s="7"/>
      <c r="M591" s="7"/>
      <c r="N591" s="9"/>
      <c r="O591" s="9"/>
    </row>
    <row r="592" spans="1:15" x14ac:dyDescent="0.2">
      <c r="A592" s="4"/>
      <c r="H592" s="2" t="s">
        <v>2726</v>
      </c>
      <c r="J592" s="7"/>
      <c r="K592" s="7"/>
      <c r="L592" s="7"/>
      <c r="M592" s="7"/>
      <c r="N592" s="9"/>
      <c r="O592" s="9"/>
    </row>
    <row r="593" spans="1:15" x14ac:dyDescent="0.2">
      <c r="A593" s="1" t="s">
        <v>1214</v>
      </c>
      <c r="B593" s="2">
        <v>31.38</v>
      </c>
      <c r="C593" s="2">
        <v>92.3</v>
      </c>
      <c r="D593" s="2" t="s">
        <v>1215</v>
      </c>
      <c r="H593" s="2" t="s">
        <v>3206</v>
      </c>
      <c r="J593" s="7" t="str">
        <f t="shared" si="90"/>
        <v>Alexandria</v>
      </c>
      <c r="K593" s="7" t="str">
        <f t="shared" si="91"/>
        <v xml:space="preserve">LA  </v>
      </c>
      <c r="L593" s="7" t="str">
        <f t="shared" ref="L593:L620" si="104">LEFT(K593,LEN(K593)-1)</f>
        <v xml:space="preserve">LA </v>
      </c>
      <c r="M593" s="7" t="str">
        <f t="shared" ref="M593:M620" si="105">SUBSTITUTE(L593,",","")</f>
        <v xml:space="preserve">LA </v>
      </c>
      <c r="N593" s="9">
        <f t="shared" ref="N593:N620" si="106">B593</f>
        <v>31.38</v>
      </c>
      <c r="O593" s="9">
        <f t="shared" ref="O593:O620" si="107">C593</f>
        <v>92.3</v>
      </c>
    </row>
    <row r="594" spans="1:15" x14ac:dyDescent="0.2">
      <c r="A594" s="1" t="s">
        <v>1216</v>
      </c>
      <c r="B594" s="2">
        <v>32.5</v>
      </c>
      <c r="C594" s="2">
        <v>93.67</v>
      </c>
      <c r="D594" s="2" t="s">
        <v>1217</v>
      </c>
      <c r="H594" s="2" t="s">
        <v>3207</v>
      </c>
      <c r="J594" s="7" t="str">
        <f t="shared" si="90"/>
        <v>Barksdale</v>
      </c>
      <c r="K594" s="7" t="str">
        <f t="shared" si="91"/>
        <v xml:space="preserve">LA  </v>
      </c>
      <c r="L594" s="7" t="str">
        <f t="shared" si="104"/>
        <v xml:space="preserve">LA </v>
      </c>
      <c r="M594" s="7" t="str">
        <f t="shared" si="105"/>
        <v xml:space="preserve">LA </v>
      </c>
      <c r="N594" s="9">
        <f t="shared" si="106"/>
        <v>32.5</v>
      </c>
      <c r="O594" s="9">
        <f t="shared" si="107"/>
        <v>93.67</v>
      </c>
    </row>
    <row r="595" spans="1:15" x14ac:dyDescent="0.2">
      <c r="A595" s="1" t="s">
        <v>1218</v>
      </c>
      <c r="B595" s="2">
        <v>30.53</v>
      </c>
      <c r="C595" s="2">
        <v>91.15</v>
      </c>
      <c r="D595" s="2" t="s">
        <v>1219</v>
      </c>
      <c r="E595" s="2" t="s">
        <v>1220</v>
      </c>
      <c r="H595" s="2" t="s">
        <v>3866</v>
      </c>
      <c r="J595" s="7" t="str">
        <f t="shared" si="90"/>
        <v>Baton Rouge</v>
      </c>
      <c r="K595" s="7" t="str">
        <f t="shared" si="91"/>
        <v xml:space="preserve">LA  </v>
      </c>
      <c r="L595" s="7" t="str">
        <f t="shared" si="104"/>
        <v xml:space="preserve">LA </v>
      </c>
      <c r="M595" s="7" t="str">
        <f t="shared" si="105"/>
        <v xml:space="preserve">LA </v>
      </c>
      <c r="N595" s="9">
        <f t="shared" si="106"/>
        <v>30.53</v>
      </c>
      <c r="O595" s="9">
        <f t="shared" si="107"/>
        <v>91.15</v>
      </c>
    </row>
    <row r="596" spans="1:15" x14ac:dyDescent="0.2">
      <c r="A596" s="1" t="s">
        <v>1221</v>
      </c>
      <c r="B596" s="2">
        <v>29.55</v>
      </c>
      <c r="C596" s="2">
        <v>89.67</v>
      </c>
      <c r="D596" s="2" t="s">
        <v>1222</v>
      </c>
      <c r="H596" s="2" t="s">
        <v>3208</v>
      </c>
      <c r="J596" s="7" t="str">
        <f t="shared" si="90"/>
        <v>Boothville</v>
      </c>
      <c r="K596" s="7" t="str">
        <f t="shared" si="91"/>
        <v xml:space="preserve">LA  </v>
      </c>
      <c r="L596" s="7" t="str">
        <f t="shared" si="104"/>
        <v xml:space="preserve">LA </v>
      </c>
      <c r="M596" s="7" t="str">
        <f t="shared" si="105"/>
        <v xml:space="preserve">LA </v>
      </c>
      <c r="N596" s="9">
        <f t="shared" si="106"/>
        <v>29.55</v>
      </c>
      <c r="O596" s="9">
        <f t="shared" si="107"/>
        <v>89.67</v>
      </c>
    </row>
    <row r="597" spans="1:15" x14ac:dyDescent="0.2">
      <c r="A597" s="1" t="s">
        <v>1223</v>
      </c>
      <c r="B597" s="2">
        <v>29.78</v>
      </c>
      <c r="C597" s="2">
        <v>93.3</v>
      </c>
      <c r="D597" s="2" t="s">
        <v>1224</v>
      </c>
      <c r="E597" s="2" t="s">
        <v>1225</v>
      </c>
      <c r="H597" s="2" t="s">
        <v>3209</v>
      </c>
      <c r="J597" s="7" t="str">
        <f t="shared" si="90"/>
        <v>Cameron Hel</v>
      </c>
      <c r="K597" s="7" t="str">
        <f t="shared" si="91"/>
        <v xml:space="preserve">,LA </v>
      </c>
      <c r="L597" s="7" t="str">
        <f t="shared" si="104"/>
        <v>,LA</v>
      </c>
      <c r="M597" s="7" t="str">
        <f t="shared" si="105"/>
        <v>LA</v>
      </c>
      <c r="N597" s="9">
        <f t="shared" si="106"/>
        <v>29.78</v>
      </c>
      <c r="O597" s="9">
        <f t="shared" si="107"/>
        <v>93.3</v>
      </c>
    </row>
    <row r="598" spans="1:15" x14ac:dyDescent="0.2">
      <c r="A598" s="1" t="s">
        <v>1226</v>
      </c>
      <c r="B598" s="2">
        <v>31.22</v>
      </c>
      <c r="C598" s="2">
        <v>92.95</v>
      </c>
      <c r="D598" s="2" t="s">
        <v>1227</v>
      </c>
      <c r="E598" s="2" t="s">
        <v>1228</v>
      </c>
      <c r="H598" s="2" t="s">
        <v>3210</v>
      </c>
      <c r="J598" s="7" t="str">
        <f t="shared" ref="J598:J661" si="108">LEFT(H598,LEN(H598)-5)</f>
        <v xml:space="preserve">Claiborne </v>
      </c>
      <c r="K598" s="7" t="str">
        <f t="shared" ref="K598:K661" si="109">RIGHT(H598,4)</f>
        <v xml:space="preserve">,LA </v>
      </c>
      <c r="L598" s="7" t="str">
        <f t="shared" si="104"/>
        <v>,LA</v>
      </c>
      <c r="M598" s="7" t="str">
        <f t="shared" si="105"/>
        <v>LA</v>
      </c>
      <c r="N598" s="9">
        <f t="shared" si="106"/>
        <v>31.22</v>
      </c>
      <c r="O598" s="9">
        <f t="shared" si="107"/>
        <v>92.95</v>
      </c>
    </row>
    <row r="599" spans="1:15" x14ac:dyDescent="0.2">
      <c r="A599" s="1" t="s">
        <v>1229</v>
      </c>
      <c r="B599" s="2">
        <v>31.33</v>
      </c>
      <c r="C599" s="2">
        <v>92.55</v>
      </c>
      <c r="D599" s="2" t="s">
        <v>1230</v>
      </c>
      <c r="E599" s="2" t="s">
        <v>1231</v>
      </c>
      <c r="H599" s="2" t="s">
        <v>3211</v>
      </c>
      <c r="J599" s="7" t="str">
        <f t="shared" si="108"/>
        <v>England AF</v>
      </c>
      <c r="K599" s="7" t="str">
        <f t="shared" si="109"/>
        <v xml:space="preserve">,LA </v>
      </c>
      <c r="L599" s="7" t="str">
        <f t="shared" si="104"/>
        <v>,LA</v>
      </c>
      <c r="M599" s="7" t="str">
        <f t="shared" si="105"/>
        <v>LA</v>
      </c>
      <c r="N599" s="9">
        <f t="shared" si="106"/>
        <v>31.33</v>
      </c>
      <c r="O599" s="9">
        <f t="shared" si="107"/>
        <v>92.55</v>
      </c>
    </row>
    <row r="600" spans="1:15" x14ac:dyDescent="0.2">
      <c r="A600" s="1" t="s">
        <v>1232</v>
      </c>
      <c r="B600" s="2">
        <v>28.47</v>
      </c>
      <c r="C600" s="2">
        <v>91.78</v>
      </c>
      <c r="D600" s="2" t="s">
        <v>1233</v>
      </c>
      <c r="E600" s="2" t="s">
        <v>1234</v>
      </c>
      <c r="H600" s="2" t="s">
        <v>3212</v>
      </c>
      <c r="J600" s="7" t="str">
        <f t="shared" si="108"/>
        <v>Eugene Is</v>
      </c>
      <c r="K600" s="7" t="str">
        <f t="shared" si="109"/>
        <v xml:space="preserve">,LA </v>
      </c>
      <c r="L600" s="7" t="str">
        <f t="shared" si="104"/>
        <v>,LA</v>
      </c>
      <c r="M600" s="7" t="str">
        <f t="shared" si="105"/>
        <v>LA</v>
      </c>
      <c r="N600" s="9">
        <f t="shared" si="106"/>
        <v>28.47</v>
      </c>
      <c r="O600" s="9">
        <f t="shared" si="107"/>
        <v>91.78</v>
      </c>
    </row>
    <row r="601" spans="1:15" x14ac:dyDescent="0.2">
      <c r="A601" s="1" t="s">
        <v>1235</v>
      </c>
      <c r="B601" s="2">
        <v>31.05</v>
      </c>
      <c r="C601" s="2">
        <v>93.2</v>
      </c>
      <c r="D601" s="2" t="s">
        <v>71</v>
      </c>
      <c r="E601" s="2" t="s">
        <v>1236</v>
      </c>
      <c r="H601" s="2" t="s">
        <v>3213</v>
      </c>
      <c r="J601" s="7" t="str">
        <f t="shared" si="108"/>
        <v>Fort Pol</v>
      </c>
      <c r="K601" s="7" t="str">
        <f t="shared" si="109"/>
        <v xml:space="preserve">,LA </v>
      </c>
      <c r="L601" s="7" t="str">
        <f t="shared" si="104"/>
        <v>,LA</v>
      </c>
      <c r="M601" s="7" t="str">
        <f t="shared" si="105"/>
        <v>LA</v>
      </c>
      <c r="N601" s="9">
        <f t="shared" si="106"/>
        <v>31.05</v>
      </c>
      <c r="O601" s="9">
        <f t="shared" si="107"/>
        <v>93.2</v>
      </c>
    </row>
    <row r="602" spans="1:15" x14ac:dyDescent="0.2">
      <c r="A602" s="1" t="s">
        <v>1237</v>
      </c>
      <c r="B602" s="2">
        <v>29.18</v>
      </c>
      <c r="C602" s="2">
        <v>90.07</v>
      </c>
      <c r="D602" s="2" t="s">
        <v>354</v>
      </c>
      <c r="E602" s="2" t="s">
        <v>1238</v>
      </c>
      <c r="H602" s="2" t="s">
        <v>3214</v>
      </c>
      <c r="J602" s="7" t="str">
        <f t="shared" si="108"/>
        <v>Grand Isl</v>
      </c>
      <c r="K602" s="7" t="str">
        <f t="shared" si="109"/>
        <v xml:space="preserve">,LA </v>
      </c>
      <c r="L602" s="7" t="str">
        <f t="shared" si="104"/>
        <v>,LA</v>
      </c>
      <c r="M602" s="7" t="str">
        <f t="shared" si="105"/>
        <v>LA</v>
      </c>
      <c r="N602" s="9">
        <f t="shared" si="106"/>
        <v>29.18</v>
      </c>
      <c r="O602" s="9">
        <f t="shared" si="107"/>
        <v>90.07</v>
      </c>
    </row>
    <row r="603" spans="1:15" x14ac:dyDescent="0.2">
      <c r="A603" s="1" t="s">
        <v>1239</v>
      </c>
      <c r="B603" s="2">
        <v>28.22</v>
      </c>
      <c r="C603" s="2">
        <v>93.75</v>
      </c>
      <c r="D603" s="2" t="s">
        <v>1240</v>
      </c>
      <c r="E603" s="2" t="s">
        <v>1241</v>
      </c>
      <c r="H603" s="2" t="s">
        <v>3215</v>
      </c>
      <c r="J603" s="7" t="str">
        <f t="shared" si="108"/>
        <v>High I</v>
      </c>
      <c r="K603" s="7" t="str">
        <f t="shared" si="109"/>
        <v xml:space="preserve">,LA </v>
      </c>
      <c r="L603" s="7" t="str">
        <f t="shared" si="104"/>
        <v>,LA</v>
      </c>
      <c r="M603" s="7" t="str">
        <f t="shared" si="105"/>
        <v>LA</v>
      </c>
      <c r="N603" s="9">
        <f t="shared" si="106"/>
        <v>28.22</v>
      </c>
      <c r="O603" s="9">
        <f t="shared" si="107"/>
        <v>93.75</v>
      </c>
    </row>
    <row r="604" spans="1:15" x14ac:dyDescent="0.2">
      <c r="A604" s="1" t="s">
        <v>1242</v>
      </c>
      <c r="B604" s="2">
        <v>28.13</v>
      </c>
      <c r="C604" s="2">
        <v>94.4</v>
      </c>
      <c r="D604" s="2" t="s">
        <v>1240</v>
      </c>
      <c r="E604" s="2" t="s">
        <v>1243</v>
      </c>
      <c r="H604" s="2" t="s">
        <v>3216</v>
      </c>
      <c r="J604" s="7" t="str">
        <f t="shared" si="108"/>
        <v>High Islan</v>
      </c>
      <c r="K604" s="7" t="str">
        <f t="shared" si="109"/>
        <v xml:space="preserve">,LA </v>
      </c>
      <c r="L604" s="7" t="str">
        <f t="shared" si="104"/>
        <v>,LA</v>
      </c>
      <c r="M604" s="7" t="str">
        <f t="shared" si="105"/>
        <v>LA</v>
      </c>
      <c r="N604" s="9">
        <f t="shared" si="106"/>
        <v>28.13</v>
      </c>
      <c r="O604" s="9">
        <f t="shared" si="107"/>
        <v>94.4</v>
      </c>
    </row>
    <row r="605" spans="1:15" x14ac:dyDescent="0.2">
      <c r="A605" s="1" t="s">
        <v>1244</v>
      </c>
      <c r="B605" s="2">
        <v>29.57</v>
      </c>
      <c r="C605" s="2">
        <v>90.65</v>
      </c>
      <c r="D605" s="2" t="s">
        <v>1245</v>
      </c>
      <c r="H605" s="2" t="s">
        <v>3217</v>
      </c>
      <c r="J605" s="7" t="str">
        <f t="shared" si="108"/>
        <v>Houma</v>
      </c>
      <c r="K605" s="7" t="str">
        <f t="shared" si="109"/>
        <v xml:space="preserve">LA  </v>
      </c>
      <c r="L605" s="7" t="str">
        <f t="shared" si="104"/>
        <v xml:space="preserve">LA </v>
      </c>
      <c r="M605" s="7" t="str">
        <f t="shared" si="105"/>
        <v xml:space="preserve">LA </v>
      </c>
      <c r="N605" s="9">
        <f t="shared" si="106"/>
        <v>29.57</v>
      </c>
      <c r="O605" s="9">
        <f t="shared" si="107"/>
        <v>90.65</v>
      </c>
    </row>
    <row r="606" spans="1:15" x14ac:dyDescent="0.2">
      <c r="A606" s="1" t="s">
        <v>1246</v>
      </c>
      <c r="B606" s="2">
        <v>29.73</v>
      </c>
      <c r="C606" s="2">
        <v>92.12</v>
      </c>
      <c r="D606" s="2" t="s">
        <v>1247</v>
      </c>
      <c r="H606" s="2" t="s">
        <v>3218</v>
      </c>
      <c r="J606" s="7" t="str">
        <f t="shared" si="108"/>
        <v>Intercoastal</v>
      </c>
      <c r="K606" s="7" t="str">
        <f t="shared" si="109"/>
        <v xml:space="preserve">LA  </v>
      </c>
      <c r="L606" s="7" t="str">
        <f t="shared" si="104"/>
        <v xml:space="preserve">LA </v>
      </c>
      <c r="M606" s="7" t="str">
        <f t="shared" si="105"/>
        <v xml:space="preserve">LA </v>
      </c>
      <c r="N606" s="9">
        <f t="shared" si="106"/>
        <v>29.73</v>
      </c>
      <c r="O606" s="9">
        <f t="shared" si="107"/>
        <v>92.12</v>
      </c>
    </row>
    <row r="607" spans="1:15" x14ac:dyDescent="0.2">
      <c r="A607" s="1" t="s">
        <v>1248</v>
      </c>
      <c r="B607" s="2">
        <v>30.2</v>
      </c>
      <c r="C607" s="2">
        <v>92</v>
      </c>
      <c r="D607" s="2" t="s">
        <v>1249</v>
      </c>
      <c r="H607" s="2" t="s">
        <v>3219</v>
      </c>
      <c r="J607" s="7" t="str">
        <f t="shared" si="108"/>
        <v>Lafayette</v>
      </c>
      <c r="K607" s="7" t="str">
        <f t="shared" si="109"/>
        <v xml:space="preserve">LA  </v>
      </c>
      <c r="L607" s="7" t="str">
        <f t="shared" si="104"/>
        <v xml:space="preserve">LA </v>
      </c>
      <c r="M607" s="7" t="str">
        <f t="shared" si="105"/>
        <v xml:space="preserve">LA </v>
      </c>
      <c r="N607" s="9">
        <f t="shared" si="106"/>
        <v>30.2</v>
      </c>
      <c r="O607" s="9">
        <f t="shared" si="107"/>
        <v>92</v>
      </c>
    </row>
    <row r="608" spans="1:15" x14ac:dyDescent="0.2">
      <c r="A608" s="1" t="s">
        <v>1250</v>
      </c>
      <c r="B608" s="2">
        <v>30.12</v>
      </c>
      <c r="C608" s="2">
        <v>93.22</v>
      </c>
      <c r="D608" s="2" t="s">
        <v>510</v>
      </c>
      <c r="E608" s="2" t="s">
        <v>1251</v>
      </c>
      <c r="H608" s="2" t="s">
        <v>3220</v>
      </c>
      <c r="J608" s="7" t="str">
        <f t="shared" si="108"/>
        <v>Lake Charle</v>
      </c>
      <c r="K608" s="7" t="str">
        <f t="shared" si="109"/>
        <v xml:space="preserve">,LA </v>
      </c>
      <c r="L608" s="7" t="str">
        <f t="shared" si="104"/>
        <v>,LA</v>
      </c>
      <c r="M608" s="7" t="str">
        <f t="shared" si="105"/>
        <v>LA</v>
      </c>
      <c r="N608" s="9">
        <f t="shared" si="106"/>
        <v>30.12</v>
      </c>
      <c r="O608" s="9">
        <f t="shared" si="107"/>
        <v>93.22</v>
      </c>
    </row>
    <row r="609" spans="1:15" x14ac:dyDescent="0.2">
      <c r="A609" s="1" t="s">
        <v>1252</v>
      </c>
      <c r="B609" s="2">
        <v>29.7</v>
      </c>
      <c r="C609" s="2">
        <v>91.1</v>
      </c>
      <c r="D609" s="2" t="s">
        <v>1253</v>
      </c>
      <c r="E609" s="2" t="s">
        <v>1254</v>
      </c>
      <c r="H609" s="2" t="s">
        <v>3221</v>
      </c>
      <c r="J609" s="7" t="str">
        <f t="shared" si="108"/>
        <v>Lk Palourd</v>
      </c>
      <c r="K609" s="7" t="str">
        <f t="shared" si="109"/>
        <v xml:space="preserve">,LA </v>
      </c>
      <c r="L609" s="7" t="str">
        <f t="shared" si="104"/>
        <v>,LA</v>
      </c>
      <c r="M609" s="7" t="str">
        <f t="shared" si="105"/>
        <v>LA</v>
      </c>
      <c r="N609" s="9">
        <f t="shared" si="106"/>
        <v>29.7</v>
      </c>
      <c r="O609" s="9">
        <f t="shared" si="107"/>
        <v>91.1</v>
      </c>
    </row>
    <row r="610" spans="1:15" x14ac:dyDescent="0.2">
      <c r="A610" s="1" t="s">
        <v>1255</v>
      </c>
      <c r="B610" s="2">
        <v>28.78</v>
      </c>
      <c r="C610" s="2">
        <v>89.05</v>
      </c>
      <c r="D610" s="2" t="s">
        <v>1256</v>
      </c>
      <c r="E610" s="2" t="s">
        <v>1257</v>
      </c>
      <c r="H610" s="2" t="s">
        <v>3222</v>
      </c>
      <c r="J610" s="7" t="str">
        <f t="shared" si="108"/>
        <v>Missippi Ca</v>
      </c>
      <c r="K610" s="7" t="str">
        <f t="shared" si="109"/>
        <v xml:space="preserve">,LA </v>
      </c>
      <c r="L610" s="7" t="str">
        <f t="shared" si="104"/>
        <v>,LA</v>
      </c>
      <c r="M610" s="7" t="str">
        <f t="shared" si="105"/>
        <v>LA</v>
      </c>
      <c r="N610" s="9">
        <f t="shared" si="106"/>
        <v>28.78</v>
      </c>
      <c r="O610" s="9">
        <f t="shared" si="107"/>
        <v>89.05</v>
      </c>
    </row>
    <row r="611" spans="1:15" x14ac:dyDescent="0.2">
      <c r="A611" s="1" t="s">
        <v>1258</v>
      </c>
      <c r="B611" s="2">
        <v>32.520000000000003</v>
      </c>
      <c r="C611" s="2">
        <v>92.05</v>
      </c>
      <c r="D611" s="2" t="s">
        <v>1259</v>
      </c>
      <c r="H611" s="2" t="s">
        <v>3223</v>
      </c>
      <c r="J611" s="7" t="str">
        <f t="shared" si="108"/>
        <v>Monroe</v>
      </c>
      <c r="K611" s="7" t="str">
        <f t="shared" si="109"/>
        <v xml:space="preserve">LA  </v>
      </c>
      <c r="L611" s="7" t="str">
        <f t="shared" si="104"/>
        <v xml:space="preserve">LA </v>
      </c>
      <c r="M611" s="7" t="str">
        <f t="shared" si="105"/>
        <v xml:space="preserve">LA </v>
      </c>
      <c r="N611" s="9">
        <f t="shared" si="106"/>
        <v>32.520000000000003</v>
      </c>
      <c r="O611" s="9">
        <f t="shared" si="107"/>
        <v>92.05</v>
      </c>
    </row>
    <row r="612" spans="1:15" x14ac:dyDescent="0.2">
      <c r="A612" s="1" t="s">
        <v>1260</v>
      </c>
      <c r="B612" s="2">
        <v>29.7</v>
      </c>
      <c r="C612" s="2">
        <v>91.2</v>
      </c>
      <c r="D612" s="2" t="s">
        <v>1261</v>
      </c>
      <c r="E612" s="2" t="s">
        <v>1262</v>
      </c>
      <c r="H612" s="2" t="s">
        <v>3224</v>
      </c>
      <c r="J612" s="7" t="str">
        <f t="shared" si="108"/>
        <v>Morgan Cit</v>
      </c>
      <c r="K612" s="7" t="str">
        <f t="shared" si="109"/>
        <v xml:space="preserve">,LA </v>
      </c>
      <c r="L612" s="7" t="str">
        <f t="shared" si="104"/>
        <v>,LA</v>
      </c>
      <c r="M612" s="7" t="str">
        <f t="shared" si="105"/>
        <v>LA</v>
      </c>
      <c r="N612" s="9">
        <f t="shared" si="106"/>
        <v>29.7</v>
      </c>
      <c r="O612" s="9">
        <f t="shared" si="107"/>
        <v>91.2</v>
      </c>
    </row>
    <row r="613" spans="1:15" x14ac:dyDescent="0.2">
      <c r="A613" s="1" t="s">
        <v>1263</v>
      </c>
      <c r="B613" s="2">
        <v>30.03</v>
      </c>
      <c r="C613" s="2">
        <v>91.88</v>
      </c>
      <c r="D613" s="2" t="s">
        <v>44</v>
      </c>
      <c r="E613" s="2" t="s">
        <v>1264</v>
      </c>
      <c r="H613" s="2" t="s">
        <v>3225</v>
      </c>
      <c r="J613" s="7" t="str">
        <f t="shared" si="108"/>
        <v>New Iberi</v>
      </c>
      <c r="K613" s="7" t="str">
        <f t="shared" si="109"/>
        <v xml:space="preserve">,LA </v>
      </c>
      <c r="L613" s="7" t="str">
        <f t="shared" si="104"/>
        <v>,LA</v>
      </c>
      <c r="M613" s="7" t="str">
        <f t="shared" si="105"/>
        <v>LA</v>
      </c>
      <c r="N613" s="9">
        <f t="shared" si="106"/>
        <v>30.03</v>
      </c>
      <c r="O613" s="9">
        <f t="shared" si="107"/>
        <v>91.88</v>
      </c>
    </row>
    <row r="614" spans="1:15" x14ac:dyDescent="0.2">
      <c r="A614" s="1" t="s">
        <v>1265</v>
      </c>
      <c r="B614" s="2">
        <v>29.98</v>
      </c>
      <c r="C614" s="2">
        <v>90.25</v>
      </c>
      <c r="D614" s="2" t="s">
        <v>44</v>
      </c>
      <c r="E614" s="2" t="s">
        <v>1266</v>
      </c>
      <c r="H614" s="2" t="s">
        <v>3867</v>
      </c>
      <c r="J614" s="7" t="str">
        <f t="shared" si="108"/>
        <v>New Orleans</v>
      </c>
      <c r="K614" s="7" t="str">
        <f t="shared" si="109"/>
        <v xml:space="preserve">LA  </v>
      </c>
      <c r="L614" s="7" t="str">
        <f t="shared" si="104"/>
        <v xml:space="preserve">LA </v>
      </c>
      <c r="M614" s="7" t="str">
        <f t="shared" si="105"/>
        <v xml:space="preserve">LA </v>
      </c>
      <c r="N614" s="9">
        <f t="shared" si="106"/>
        <v>29.98</v>
      </c>
      <c r="O614" s="9">
        <f t="shared" si="107"/>
        <v>90.25</v>
      </c>
    </row>
    <row r="615" spans="1:15" x14ac:dyDescent="0.2">
      <c r="A615" s="1" t="s">
        <v>1267</v>
      </c>
      <c r="B615" s="2">
        <v>29.83</v>
      </c>
      <c r="C615" s="2">
        <v>90.02</v>
      </c>
      <c r="D615" s="2" t="s">
        <v>44</v>
      </c>
      <c r="E615" s="2" t="s">
        <v>1266</v>
      </c>
      <c r="H615" s="2" t="s">
        <v>3226</v>
      </c>
      <c r="J615" s="7" t="str">
        <f t="shared" si="108"/>
        <v>New Orlean</v>
      </c>
      <c r="K615" s="7" t="str">
        <f t="shared" si="109"/>
        <v xml:space="preserve">,LA </v>
      </c>
      <c r="L615" s="7" t="str">
        <f t="shared" si="104"/>
        <v>,LA</v>
      </c>
      <c r="M615" s="7" t="str">
        <f t="shared" si="105"/>
        <v>LA</v>
      </c>
      <c r="N615" s="9">
        <f t="shared" si="106"/>
        <v>29.83</v>
      </c>
      <c r="O615" s="9">
        <f t="shared" si="107"/>
        <v>90.02</v>
      </c>
    </row>
    <row r="616" spans="1:15" x14ac:dyDescent="0.2">
      <c r="A616" s="1" t="s">
        <v>1268</v>
      </c>
      <c r="B616" s="2">
        <v>30.03</v>
      </c>
      <c r="C616" s="2">
        <v>90.03</v>
      </c>
      <c r="D616" s="2" t="s">
        <v>44</v>
      </c>
      <c r="E616" s="2" t="s">
        <v>1266</v>
      </c>
      <c r="H616" s="2" t="s">
        <v>3226</v>
      </c>
      <c r="J616" s="7" t="str">
        <f t="shared" si="108"/>
        <v>New Orlean</v>
      </c>
      <c r="K616" s="7" t="str">
        <f t="shared" si="109"/>
        <v xml:space="preserve">,LA </v>
      </c>
      <c r="L616" s="7" t="str">
        <f t="shared" si="104"/>
        <v>,LA</v>
      </c>
      <c r="M616" s="7" t="str">
        <f t="shared" si="105"/>
        <v>LA</v>
      </c>
      <c r="N616" s="9">
        <f t="shared" si="106"/>
        <v>30.03</v>
      </c>
      <c r="O616" s="9">
        <f t="shared" si="107"/>
        <v>90.03</v>
      </c>
    </row>
    <row r="617" spans="1:15" x14ac:dyDescent="0.2">
      <c r="A617" s="1" t="s">
        <v>1269</v>
      </c>
      <c r="B617" s="2">
        <v>28.3</v>
      </c>
      <c r="C617" s="2">
        <v>91.98</v>
      </c>
      <c r="D617" s="2" t="s">
        <v>1270</v>
      </c>
      <c r="E617" s="2" t="s">
        <v>1271</v>
      </c>
      <c r="F617" s="2" t="s">
        <v>1272</v>
      </c>
      <c r="H617" s="2" t="s">
        <v>3227</v>
      </c>
      <c r="J617" s="7" t="str">
        <f t="shared" si="108"/>
        <v>S Marsh I</v>
      </c>
      <c r="K617" s="7" t="str">
        <f t="shared" si="109"/>
        <v>l,LA</v>
      </c>
      <c r="L617" s="7" t="str">
        <f t="shared" si="104"/>
        <v>l,L</v>
      </c>
      <c r="M617" s="7" t="str">
        <f t="shared" si="105"/>
        <v>lL</v>
      </c>
      <c r="N617" s="9">
        <f t="shared" si="106"/>
        <v>28.3</v>
      </c>
      <c r="O617" s="9">
        <f t="shared" si="107"/>
        <v>91.98</v>
      </c>
    </row>
    <row r="618" spans="1:15" x14ac:dyDescent="0.2">
      <c r="A618" s="1" t="s">
        <v>1273</v>
      </c>
      <c r="B618" s="2">
        <v>32.520000000000003</v>
      </c>
      <c r="C618" s="2">
        <v>93.75</v>
      </c>
      <c r="D618" s="2" t="s">
        <v>1274</v>
      </c>
      <c r="H618" s="2" t="s">
        <v>3228</v>
      </c>
      <c r="J618" s="7" t="str">
        <f t="shared" si="108"/>
        <v>Shreveport</v>
      </c>
      <c r="K618" s="7" t="str">
        <f t="shared" si="109"/>
        <v xml:space="preserve">LA  </v>
      </c>
      <c r="L618" s="7" t="str">
        <f t="shared" si="104"/>
        <v xml:space="preserve">LA </v>
      </c>
      <c r="M618" s="7" t="str">
        <f t="shared" si="105"/>
        <v xml:space="preserve">LA </v>
      </c>
      <c r="N618" s="9">
        <f t="shared" si="106"/>
        <v>32.520000000000003</v>
      </c>
      <c r="O618" s="9">
        <f t="shared" si="107"/>
        <v>93.75</v>
      </c>
    </row>
    <row r="619" spans="1:15" x14ac:dyDescent="0.2">
      <c r="A619" s="1" t="s">
        <v>1275</v>
      </c>
      <c r="B619" s="2">
        <v>32.47</v>
      </c>
      <c r="C619" s="2">
        <v>93.82</v>
      </c>
      <c r="D619" s="2" t="s">
        <v>1274</v>
      </c>
      <c r="H619" s="2" t="s">
        <v>3228</v>
      </c>
      <c r="J619" s="7" t="str">
        <f t="shared" si="108"/>
        <v>Shreveport</v>
      </c>
      <c r="K619" s="7" t="str">
        <f t="shared" si="109"/>
        <v xml:space="preserve">LA  </v>
      </c>
      <c r="L619" s="7" t="str">
        <f t="shared" si="104"/>
        <v xml:space="preserve">LA </v>
      </c>
      <c r="M619" s="7" t="str">
        <f t="shared" si="105"/>
        <v xml:space="preserve">LA </v>
      </c>
      <c r="N619" s="9">
        <f t="shared" si="106"/>
        <v>32.47</v>
      </c>
      <c r="O619" s="9">
        <f t="shared" si="107"/>
        <v>93.82</v>
      </c>
    </row>
    <row r="620" spans="1:15" x14ac:dyDescent="0.2">
      <c r="A620" s="1" t="s">
        <v>1276</v>
      </c>
      <c r="B620" s="2">
        <v>30.35</v>
      </c>
      <c r="C620" s="2">
        <v>89.82</v>
      </c>
      <c r="D620" s="2" t="s">
        <v>1277</v>
      </c>
      <c r="H620" s="2" t="s">
        <v>3229</v>
      </c>
      <c r="J620" s="7" t="str">
        <f t="shared" si="108"/>
        <v>Slidel</v>
      </c>
      <c r="K620" s="7" t="str">
        <f t="shared" si="109"/>
        <v xml:space="preserve">LA  </v>
      </c>
      <c r="L620" s="7" t="str">
        <f t="shared" si="104"/>
        <v xml:space="preserve">LA </v>
      </c>
      <c r="M620" s="7" t="str">
        <f t="shared" si="105"/>
        <v xml:space="preserve">LA </v>
      </c>
      <c r="N620" s="9">
        <f t="shared" si="106"/>
        <v>30.35</v>
      </c>
      <c r="O620" s="9">
        <f t="shared" si="107"/>
        <v>89.82</v>
      </c>
    </row>
    <row r="621" spans="1:15" x14ac:dyDescent="0.2">
      <c r="A621" s="4"/>
      <c r="H621" s="2" t="s">
        <v>2726</v>
      </c>
      <c r="J621" s="7"/>
      <c r="K621" s="7"/>
      <c r="L621" s="7"/>
      <c r="M621" s="7"/>
      <c r="N621" s="9"/>
      <c r="O621" s="9"/>
    </row>
    <row r="622" spans="1:15" x14ac:dyDescent="0.2">
      <c r="A622" s="1" t="s">
        <v>18</v>
      </c>
      <c r="H622" s="2" t="s">
        <v>2726</v>
      </c>
      <c r="J622" s="7"/>
      <c r="K622" s="7"/>
      <c r="L622" s="7"/>
      <c r="M622" s="7"/>
      <c r="N622" s="9"/>
      <c r="O622" s="9"/>
    </row>
    <row r="623" spans="1:15" x14ac:dyDescent="0.2">
      <c r="A623" s="4"/>
      <c r="H623" s="2" t="s">
        <v>2726</v>
      </c>
      <c r="J623" s="7"/>
      <c r="K623" s="7"/>
      <c r="L623" s="7"/>
      <c r="M623" s="7"/>
      <c r="N623" s="9"/>
      <c r="O623" s="9"/>
    </row>
    <row r="624" spans="1:15" x14ac:dyDescent="0.2">
      <c r="A624" s="1" t="s">
        <v>1278</v>
      </c>
      <c r="B624" s="2">
        <v>44.32</v>
      </c>
      <c r="C624" s="2">
        <v>69.8</v>
      </c>
      <c r="D624" s="2" t="s">
        <v>1279</v>
      </c>
      <c r="H624" s="2" t="s">
        <v>3230</v>
      </c>
      <c r="J624" s="7" t="str">
        <f t="shared" si="108"/>
        <v>Augusta</v>
      </c>
      <c r="K624" s="7" t="str">
        <f t="shared" si="109"/>
        <v xml:space="preserve">ME  </v>
      </c>
      <c r="L624" s="7" t="str">
        <f t="shared" ref="L624:L636" si="110">LEFT(K624,LEN(K624)-1)</f>
        <v xml:space="preserve">ME </v>
      </c>
      <c r="M624" s="7" t="str">
        <f t="shared" ref="M624:M636" si="111">SUBSTITUTE(L624,",","")</f>
        <v xml:space="preserve">ME </v>
      </c>
      <c r="N624" s="9">
        <f t="shared" ref="N624:N636" si="112">B624</f>
        <v>44.32</v>
      </c>
      <c r="O624" s="9">
        <f t="shared" ref="O624:O636" si="113">C624</f>
        <v>69.8</v>
      </c>
    </row>
    <row r="625" spans="1:15" x14ac:dyDescent="0.2">
      <c r="A625" s="1" t="s">
        <v>1280</v>
      </c>
      <c r="B625" s="2">
        <v>44.8</v>
      </c>
      <c r="C625" s="2">
        <v>68.819999999999993</v>
      </c>
      <c r="D625" s="2" t="s">
        <v>1281</v>
      </c>
      <c r="H625" s="2" t="s">
        <v>3231</v>
      </c>
      <c r="J625" s="7" t="str">
        <f t="shared" si="108"/>
        <v>Bangor</v>
      </c>
      <c r="K625" s="7" t="str">
        <f t="shared" si="109"/>
        <v xml:space="preserve">ME  </v>
      </c>
      <c r="L625" s="7" t="str">
        <f t="shared" si="110"/>
        <v xml:space="preserve">ME </v>
      </c>
      <c r="M625" s="7" t="str">
        <f t="shared" si="111"/>
        <v xml:space="preserve">ME </v>
      </c>
      <c r="N625" s="9">
        <f t="shared" si="112"/>
        <v>44.8</v>
      </c>
      <c r="O625" s="9">
        <f t="shared" si="113"/>
        <v>68.819999999999993</v>
      </c>
    </row>
    <row r="626" spans="1:15" x14ac:dyDescent="0.2">
      <c r="A626" s="1" t="s">
        <v>1282</v>
      </c>
      <c r="B626" s="2">
        <v>44.45</v>
      </c>
      <c r="C626" s="2">
        <v>68.37</v>
      </c>
      <c r="D626" s="2" t="s">
        <v>1283</v>
      </c>
      <c r="E626" s="2" t="s">
        <v>1284</v>
      </c>
      <c r="H626" s="2" t="s">
        <v>3232</v>
      </c>
      <c r="J626" s="7" t="str">
        <f t="shared" si="108"/>
        <v>Bar Harbo</v>
      </c>
      <c r="K626" s="7" t="str">
        <f t="shared" si="109"/>
        <v xml:space="preserve">,ME </v>
      </c>
      <c r="L626" s="7" t="str">
        <f t="shared" si="110"/>
        <v>,ME</v>
      </c>
      <c r="M626" s="7" t="str">
        <f t="shared" si="111"/>
        <v>ME</v>
      </c>
      <c r="N626" s="9">
        <f t="shared" si="112"/>
        <v>44.45</v>
      </c>
      <c r="O626" s="9">
        <f t="shared" si="113"/>
        <v>68.37</v>
      </c>
    </row>
    <row r="627" spans="1:15" x14ac:dyDescent="0.2">
      <c r="A627" s="1" t="s">
        <v>1285</v>
      </c>
      <c r="B627" s="2">
        <v>43.88</v>
      </c>
      <c r="C627" s="2">
        <v>69.930000000000007</v>
      </c>
      <c r="D627" s="2" t="s">
        <v>1286</v>
      </c>
      <c r="H627" s="2" t="s">
        <v>3233</v>
      </c>
      <c r="J627" s="7" t="str">
        <f t="shared" si="108"/>
        <v>Brunswick</v>
      </c>
      <c r="K627" s="7" t="str">
        <f t="shared" si="109"/>
        <v xml:space="preserve">ME  </v>
      </c>
      <c r="L627" s="7" t="str">
        <f t="shared" si="110"/>
        <v xml:space="preserve">ME </v>
      </c>
      <c r="M627" s="7" t="str">
        <f t="shared" si="111"/>
        <v xml:space="preserve">ME </v>
      </c>
      <c r="N627" s="9">
        <f t="shared" si="112"/>
        <v>43.88</v>
      </c>
      <c r="O627" s="9">
        <f t="shared" si="113"/>
        <v>69.930000000000007</v>
      </c>
    </row>
    <row r="628" spans="1:15" x14ac:dyDescent="0.2">
      <c r="A628" s="1" t="s">
        <v>1287</v>
      </c>
      <c r="B628" s="2">
        <v>46.87</v>
      </c>
      <c r="C628" s="2">
        <v>68.02</v>
      </c>
      <c r="D628" s="2" t="s">
        <v>1288</v>
      </c>
      <c r="E628" s="2" t="s">
        <v>1289</v>
      </c>
      <c r="H628" s="2" t="s">
        <v>3234</v>
      </c>
      <c r="J628" s="7" t="str">
        <f t="shared" si="108"/>
        <v>Caribou Mu</v>
      </c>
      <c r="K628" s="7" t="str">
        <f t="shared" si="109"/>
        <v xml:space="preserve">,ME </v>
      </c>
      <c r="L628" s="7" t="str">
        <f t="shared" si="110"/>
        <v>,ME</v>
      </c>
      <c r="M628" s="7" t="str">
        <f t="shared" si="111"/>
        <v>ME</v>
      </c>
      <c r="N628" s="9">
        <f t="shared" si="112"/>
        <v>46.87</v>
      </c>
      <c r="O628" s="9">
        <f t="shared" si="113"/>
        <v>68.02</v>
      </c>
    </row>
    <row r="629" spans="1:15" x14ac:dyDescent="0.2">
      <c r="A629" s="1" t="s">
        <v>1290</v>
      </c>
      <c r="B629" s="2">
        <v>45.45</v>
      </c>
      <c r="C629" s="2">
        <v>69.55</v>
      </c>
      <c r="D629" s="2" t="s">
        <v>1291</v>
      </c>
      <c r="H629" s="2" t="s">
        <v>3235</v>
      </c>
      <c r="J629" s="7" t="str">
        <f t="shared" si="108"/>
        <v>Greenville</v>
      </c>
      <c r="K629" s="7" t="str">
        <f t="shared" si="109"/>
        <v xml:space="preserve">ME  </v>
      </c>
      <c r="L629" s="7" t="str">
        <f t="shared" si="110"/>
        <v xml:space="preserve">ME </v>
      </c>
      <c r="M629" s="7" t="str">
        <f t="shared" si="111"/>
        <v xml:space="preserve">ME </v>
      </c>
      <c r="N629" s="9">
        <f t="shared" si="112"/>
        <v>45.45</v>
      </c>
      <c r="O629" s="9">
        <f t="shared" si="113"/>
        <v>69.55</v>
      </c>
    </row>
    <row r="630" spans="1:15" x14ac:dyDescent="0.2">
      <c r="A630" s="1" t="s">
        <v>1292</v>
      </c>
      <c r="B630" s="2">
        <v>45.78</v>
      </c>
      <c r="C630" s="2">
        <v>69.63</v>
      </c>
      <c r="D630" s="2" t="s">
        <v>1291</v>
      </c>
      <c r="H630" s="2" t="s">
        <v>3235</v>
      </c>
      <c r="J630" s="7" t="str">
        <f t="shared" si="108"/>
        <v>Greenville</v>
      </c>
      <c r="K630" s="7" t="str">
        <f t="shared" si="109"/>
        <v xml:space="preserve">ME  </v>
      </c>
      <c r="L630" s="7" t="str">
        <f t="shared" si="110"/>
        <v xml:space="preserve">ME </v>
      </c>
      <c r="M630" s="7" t="str">
        <f t="shared" si="111"/>
        <v xml:space="preserve">ME </v>
      </c>
      <c r="N630" s="9">
        <f t="shared" si="112"/>
        <v>45.78</v>
      </c>
      <c r="O630" s="9">
        <f t="shared" si="113"/>
        <v>69.63</v>
      </c>
    </row>
    <row r="631" spans="1:15" x14ac:dyDescent="0.2">
      <c r="A631" s="1" t="s">
        <v>1293</v>
      </c>
      <c r="B631" s="2">
        <v>46.13</v>
      </c>
      <c r="C631" s="2">
        <v>67.78</v>
      </c>
      <c r="D631" s="2" t="s">
        <v>1294</v>
      </c>
      <c r="H631" s="2" t="s">
        <v>3236</v>
      </c>
      <c r="J631" s="7" t="str">
        <f t="shared" si="108"/>
        <v>Houlton</v>
      </c>
      <c r="K631" s="7" t="str">
        <f t="shared" si="109"/>
        <v xml:space="preserve">ME  </v>
      </c>
      <c r="L631" s="7" t="str">
        <f t="shared" si="110"/>
        <v xml:space="preserve">ME </v>
      </c>
      <c r="M631" s="7" t="str">
        <f t="shared" si="111"/>
        <v xml:space="preserve">ME </v>
      </c>
      <c r="N631" s="9">
        <f t="shared" si="112"/>
        <v>46.13</v>
      </c>
      <c r="O631" s="9">
        <f t="shared" si="113"/>
        <v>67.78</v>
      </c>
    </row>
    <row r="632" spans="1:15" x14ac:dyDescent="0.2">
      <c r="A632" s="1" t="s">
        <v>1295</v>
      </c>
      <c r="B632" s="2">
        <v>46.95</v>
      </c>
      <c r="C632" s="2">
        <v>67.88</v>
      </c>
      <c r="D632" s="2" t="s">
        <v>1296</v>
      </c>
      <c r="E632" s="2" t="s">
        <v>1297</v>
      </c>
      <c r="H632" s="2" t="s">
        <v>3237</v>
      </c>
      <c r="J632" s="7" t="str">
        <f t="shared" si="108"/>
        <v>Loring AF</v>
      </c>
      <c r="K632" s="7" t="str">
        <f t="shared" si="109"/>
        <v xml:space="preserve">,ME </v>
      </c>
      <c r="L632" s="7" t="str">
        <f t="shared" si="110"/>
        <v>,ME</v>
      </c>
      <c r="M632" s="7" t="str">
        <f t="shared" si="111"/>
        <v>ME</v>
      </c>
      <c r="N632" s="9">
        <f t="shared" si="112"/>
        <v>46.95</v>
      </c>
      <c r="O632" s="9">
        <f t="shared" si="113"/>
        <v>67.88</v>
      </c>
    </row>
    <row r="633" spans="1:15" x14ac:dyDescent="0.2">
      <c r="A633" s="1" t="s">
        <v>1298</v>
      </c>
      <c r="B633" s="2">
        <v>43.65</v>
      </c>
      <c r="C633" s="2">
        <v>70.319999999999993</v>
      </c>
      <c r="D633" s="2" t="s">
        <v>1299</v>
      </c>
      <c r="H633" s="2" t="s">
        <v>3238</v>
      </c>
      <c r="J633" s="7" t="str">
        <f t="shared" si="108"/>
        <v>Portland</v>
      </c>
      <c r="K633" s="7" t="str">
        <f t="shared" si="109"/>
        <v xml:space="preserve">ME  </v>
      </c>
      <c r="L633" s="7" t="str">
        <f t="shared" si="110"/>
        <v xml:space="preserve">ME </v>
      </c>
      <c r="M633" s="7" t="str">
        <f t="shared" si="111"/>
        <v xml:space="preserve">ME </v>
      </c>
      <c r="N633" s="9">
        <f t="shared" si="112"/>
        <v>43.65</v>
      </c>
      <c r="O633" s="9">
        <f t="shared" si="113"/>
        <v>70.319999999999993</v>
      </c>
    </row>
    <row r="634" spans="1:15" x14ac:dyDescent="0.2">
      <c r="A634" s="1" t="s">
        <v>1300</v>
      </c>
      <c r="B634" s="2">
        <v>46.68</v>
      </c>
      <c r="C634" s="2">
        <v>68.05</v>
      </c>
      <c r="D634" s="2" t="s">
        <v>1301</v>
      </c>
      <c r="E634" s="2" t="s">
        <v>1302</v>
      </c>
      <c r="H634" s="2" t="s">
        <v>3239</v>
      </c>
      <c r="J634" s="7" t="str">
        <f t="shared" si="108"/>
        <v>Presque Isl</v>
      </c>
      <c r="K634" s="7" t="str">
        <f t="shared" si="109"/>
        <v xml:space="preserve">,ME </v>
      </c>
      <c r="L634" s="7" t="str">
        <f t="shared" si="110"/>
        <v>,ME</v>
      </c>
      <c r="M634" s="7" t="str">
        <f t="shared" si="111"/>
        <v>ME</v>
      </c>
      <c r="N634" s="9">
        <f t="shared" si="112"/>
        <v>46.68</v>
      </c>
      <c r="O634" s="9">
        <f t="shared" si="113"/>
        <v>68.05</v>
      </c>
    </row>
    <row r="635" spans="1:15" x14ac:dyDescent="0.2">
      <c r="A635" s="1" t="s">
        <v>1303</v>
      </c>
      <c r="B635" s="2">
        <v>44.07</v>
      </c>
      <c r="C635" s="2">
        <v>69.12</v>
      </c>
      <c r="D635" s="2" t="s">
        <v>1304</v>
      </c>
      <c r="H635" s="2" t="s">
        <v>3240</v>
      </c>
      <c r="J635" s="7" t="str">
        <f t="shared" si="108"/>
        <v>Rockland</v>
      </c>
      <c r="K635" s="7" t="str">
        <f t="shared" si="109"/>
        <v xml:space="preserve">ME  </v>
      </c>
      <c r="L635" s="7" t="str">
        <f t="shared" si="110"/>
        <v xml:space="preserve">ME </v>
      </c>
      <c r="M635" s="7" t="str">
        <f t="shared" si="111"/>
        <v xml:space="preserve">ME </v>
      </c>
      <c r="N635" s="9">
        <f t="shared" si="112"/>
        <v>44.07</v>
      </c>
      <c r="O635" s="9">
        <f t="shared" si="113"/>
        <v>69.12</v>
      </c>
    </row>
    <row r="636" spans="1:15" x14ac:dyDescent="0.2">
      <c r="A636" s="1" t="s">
        <v>1305</v>
      </c>
      <c r="B636" s="2">
        <v>44.88</v>
      </c>
      <c r="C636" s="2">
        <v>70.88</v>
      </c>
      <c r="D636" s="2" t="s">
        <v>1306</v>
      </c>
      <c r="H636" s="2" t="s">
        <v>3241</v>
      </c>
      <c r="J636" s="7" t="str">
        <f t="shared" si="108"/>
        <v>Rumford</v>
      </c>
      <c r="K636" s="7" t="str">
        <f t="shared" si="109"/>
        <v xml:space="preserve">ME  </v>
      </c>
      <c r="L636" s="7" t="str">
        <f t="shared" si="110"/>
        <v xml:space="preserve">ME </v>
      </c>
      <c r="M636" s="7" t="str">
        <f t="shared" si="111"/>
        <v xml:space="preserve">ME </v>
      </c>
      <c r="N636" s="9">
        <f t="shared" si="112"/>
        <v>44.88</v>
      </c>
      <c r="O636" s="9">
        <f t="shared" si="113"/>
        <v>70.88</v>
      </c>
    </row>
    <row r="637" spans="1:15" x14ac:dyDescent="0.2">
      <c r="A637" s="4"/>
      <c r="H637" s="2" t="s">
        <v>2726</v>
      </c>
      <c r="J637" s="7"/>
      <c r="K637" s="7"/>
      <c r="L637" s="7"/>
      <c r="M637" s="7"/>
      <c r="N637" s="9"/>
      <c r="O637" s="9"/>
    </row>
    <row r="638" spans="1:15" x14ac:dyDescent="0.2">
      <c r="A638" s="1" t="s">
        <v>19</v>
      </c>
      <c r="H638" s="2" t="s">
        <v>2726</v>
      </c>
      <c r="J638" s="7"/>
      <c r="K638" s="7"/>
      <c r="L638" s="7"/>
      <c r="M638" s="7"/>
      <c r="N638" s="9"/>
      <c r="O638" s="9"/>
    </row>
    <row r="639" spans="1:15" x14ac:dyDescent="0.2">
      <c r="A639" s="4"/>
      <c r="H639" s="2" t="s">
        <v>2726</v>
      </c>
      <c r="J639" s="7"/>
      <c r="K639" s="7"/>
      <c r="L639" s="7"/>
      <c r="M639" s="7"/>
      <c r="N639" s="9"/>
      <c r="O639" s="9"/>
    </row>
    <row r="640" spans="1:15" x14ac:dyDescent="0.2">
      <c r="A640" s="1" t="s">
        <v>1307</v>
      </c>
      <c r="B640" s="2">
        <v>38.82</v>
      </c>
      <c r="C640" s="2">
        <v>76.87</v>
      </c>
      <c r="D640" s="2" t="s">
        <v>1308</v>
      </c>
      <c r="E640" s="2" t="s">
        <v>1309</v>
      </c>
      <c r="H640" s="2" t="s">
        <v>3242</v>
      </c>
      <c r="J640" s="7" t="str">
        <f t="shared" si="108"/>
        <v>Andrews AF</v>
      </c>
      <c r="K640" s="7" t="str">
        <f t="shared" si="109"/>
        <v xml:space="preserve">,MD </v>
      </c>
      <c r="L640" s="7" t="str">
        <f t="shared" ref="L640:L649" si="114">LEFT(K640,LEN(K640)-1)</f>
        <v>,MD</v>
      </c>
      <c r="M640" s="7" t="str">
        <f t="shared" ref="M640:M649" si="115">SUBSTITUTE(L640,",","")</f>
        <v>MD</v>
      </c>
      <c r="N640" s="9">
        <f t="shared" ref="N640:N649" si="116">B640</f>
        <v>38.82</v>
      </c>
      <c r="O640" s="9">
        <f t="shared" ref="O640:O649" si="117">C640</f>
        <v>76.87</v>
      </c>
    </row>
    <row r="641" spans="1:15" x14ac:dyDescent="0.2">
      <c r="A641" s="1" t="s">
        <v>1310</v>
      </c>
      <c r="B641" s="2">
        <v>39.18</v>
      </c>
      <c r="C641" s="2">
        <v>76.67</v>
      </c>
      <c r="D641" s="2" t="s">
        <v>1311</v>
      </c>
      <c r="H641" s="2" t="s">
        <v>3243</v>
      </c>
      <c r="J641" s="7" t="str">
        <f t="shared" si="108"/>
        <v>Baltimore</v>
      </c>
      <c r="K641" s="7" t="str">
        <f t="shared" si="109"/>
        <v xml:space="preserve">MD  </v>
      </c>
      <c r="L641" s="7" t="str">
        <f t="shared" si="114"/>
        <v xml:space="preserve">MD </v>
      </c>
      <c r="M641" s="7" t="str">
        <f t="shared" si="115"/>
        <v xml:space="preserve">MD </v>
      </c>
      <c r="N641" s="9">
        <f t="shared" si="116"/>
        <v>39.18</v>
      </c>
      <c r="O641" s="9">
        <f t="shared" si="117"/>
        <v>76.67</v>
      </c>
    </row>
    <row r="642" spans="1:15" x14ac:dyDescent="0.2">
      <c r="A642" s="1" t="s">
        <v>1312</v>
      </c>
      <c r="B642" s="2">
        <v>39.18</v>
      </c>
      <c r="C642" s="2">
        <v>76.67</v>
      </c>
      <c r="D642" s="2" t="s">
        <v>1311</v>
      </c>
      <c r="H642" s="2" t="s">
        <v>3243</v>
      </c>
      <c r="J642" s="7" t="str">
        <f t="shared" si="108"/>
        <v>Baltimore</v>
      </c>
      <c r="K642" s="7" t="str">
        <f t="shared" si="109"/>
        <v xml:space="preserve">MD  </v>
      </c>
      <c r="L642" s="7" t="str">
        <f t="shared" si="114"/>
        <v xml:space="preserve">MD </v>
      </c>
      <c r="M642" s="7" t="str">
        <f t="shared" si="115"/>
        <v xml:space="preserve">MD </v>
      </c>
      <c r="N642" s="9">
        <f t="shared" si="116"/>
        <v>39.18</v>
      </c>
      <c r="O642" s="9">
        <f t="shared" si="117"/>
        <v>76.67</v>
      </c>
    </row>
    <row r="643" spans="1:15" x14ac:dyDescent="0.2">
      <c r="A643" s="1" t="s">
        <v>1313</v>
      </c>
      <c r="B643" s="2">
        <v>39.33</v>
      </c>
      <c r="C643" s="2">
        <v>76.42</v>
      </c>
      <c r="D643" s="2" t="s">
        <v>1311</v>
      </c>
      <c r="H643" s="2" t="s">
        <v>3243</v>
      </c>
      <c r="J643" s="7" t="str">
        <f t="shared" si="108"/>
        <v>Baltimore</v>
      </c>
      <c r="K643" s="7" t="str">
        <f t="shared" si="109"/>
        <v xml:space="preserve">MD  </v>
      </c>
      <c r="L643" s="7" t="str">
        <f t="shared" si="114"/>
        <v xml:space="preserve">MD </v>
      </c>
      <c r="M643" s="7" t="str">
        <f t="shared" si="115"/>
        <v xml:space="preserve">MD </v>
      </c>
      <c r="N643" s="9">
        <f t="shared" si="116"/>
        <v>39.33</v>
      </c>
      <c r="O643" s="9">
        <f t="shared" si="117"/>
        <v>76.42</v>
      </c>
    </row>
    <row r="644" spans="1:15" x14ac:dyDescent="0.2">
      <c r="A644" s="1" t="s">
        <v>1314</v>
      </c>
      <c r="B644" s="2">
        <v>39.08</v>
      </c>
      <c r="C644" s="2">
        <v>76.77</v>
      </c>
      <c r="D644" s="2" t="s">
        <v>71</v>
      </c>
      <c r="E644" s="2" t="s">
        <v>1315</v>
      </c>
      <c r="H644" s="2" t="s">
        <v>3244</v>
      </c>
      <c r="J644" s="7" t="str">
        <f t="shared" si="108"/>
        <v>Fort Mead</v>
      </c>
      <c r="K644" s="7" t="str">
        <f t="shared" si="109"/>
        <v xml:space="preserve">,MD </v>
      </c>
      <c r="L644" s="7" t="str">
        <f t="shared" si="114"/>
        <v>,MD</v>
      </c>
      <c r="M644" s="7" t="str">
        <f t="shared" si="115"/>
        <v>MD</v>
      </c>
      <c r="N644" s="9">
        <f t="shared" si="116"/>
        <v>39.08</v>
      </c>
      <c r="O644" s="9">
        <f t="shared" si="117"/>
        <v>76.77</v>
      </c>
    </row>
    <row r="645" spans="1:15" x14ac:dyDescent="0.2">
      <c r="A645" s="1" t="s">
        <v>1316</v>
      </c>
      <c r="B645" s="2">
        <v>39.700000000000003</v>
      </c>
      <c r="C645" s="2">
        <v>77.72</v>
      </c>
      <c r="D645" s="2" t="s">
        <v>1317</v>
      </c>
      <c r="H645" s="2" t="s">
        <v>3245</v>
      </c>
      <c r="J645" s="7" t="str">
        <f t="shared" si="108"/>
        <v>Hagerstown</v>
      </c>
      <c r="K645" s="7" t="str">
        <f t="shared" si="109"/>
        <v xml:space="preserve">MD  </v>
      </c>
      <c r="L645" s="7" t="str">
        <f t="shared" si="114"/>
        <v xml:space="preserve">MD </v>
      </c>
      <c r="M645" s="7" t="str">
        <f t="shared" si="115"/>
        <v xml:space="preserve">MD </v>
      </c>
      <c r="N645" s="9">
        <f t="shared" si="116"/>
        <v>39.700000000000003</v>
      </c>
      <c r="O645" s="9">
        <f t="shared" si="117"/>
        <v>77.72</v>
      </c>
    </row>
    <row r="646" spans="1:15" x14ac:dyDescent="0.2">
      <c r="A646" s="1" t="s">
        <v>1318</v>
      </c>
      <c r="B646" s="2">
        <v>38.549999999999997</v>
      </c>
      <c r="C646" s="2">
        <v>75.13</v>
      </c>
      <c r="D646" s="2" t="s">
        <v>1319</v>
      </c>
      <c r="E646" s="2" t="s">
        <v>1320</v>
      </c>
      <c r="H646" s="2" t="s">
        <v>3246</v>
      </c>
      <c r="J646" s="7" t="str">
        <f t="shared" si="108"/>
        <v>Ocean Cit</v>
      </c>
      <c r="K646" s="7" t="str">
        <f t="shared" si="109"/>
        <v xml:space="preserve">,MD </v>
      </c>
      <c r="L646" s="7" t="str">
        <f t="shared" si="114"/>
        <v>,MD</v>
      </c>
      <c r="M646" s="7" t="str">
        <f t="shared" si="115"/>
        <v>MD</v>
      </c>
      <c r="N646" s="9">
        <f t="shared" si="116"/>
        <v>38.549999999999997</v>
      </c>
      <c r="O646" s="9">
        <f t="shared" si="117"/>
        <v>75.13</v>
      </c>
    </row>
    <row r="647" spans="1:15" x14ac:dyDescent="0.2">
      <c r="A647" s="1" t="s">
        <v>1321</v>
      </c>
      <c r="B647" s="2">
        <v>38.28</v>
      </c>
      <c r="C647" s="2">
        <v>76.400000000000006</v>
      </c>
      <c r="D647" s="2" t="s">
        <v>1322</v>
      </c>
      <c r="H647" s="2" t="s">
        <v>3247</v>
      </c>
      <c r="J647" s="7" t="str">
        <f t="shared" si="108"/>
        <v>Patuxent</v>
      </c>
      <c r="K647" s="7" t="str">
        <f t="shared" si="109"/>
        <v xml:space="preserve">MD  </v>
      </c>
      <c r="L647" s="7" t="str">
        <f t="shared" si="114"/>
        <v xml:space="preserve">MD </v>
      </c>
      <c r="M647" s="7" t="str">
        <f t="shared" si="115"/>
        <v xml:space="preserve">MD </v>
      </c>
      <c r="N647" s="9">
        <f t="shared" si="116"/>
        <v>38.28</v>
      </c>
      <c r="O647" s="9">
        <f t="shared" si="117"/>
        <v>76.400000000000006</v>
      </c>
    </row>
    <row r="648" spans="1:15" x14ac:dyDescent="0.2">
      <c r="A648" s="1" t="s">
        <v>1323</v>
      </c>
      <c r="B648" s="2">
        <v>39.47</v>
      </c>
      <c r="C648" s="2">
        <v>76.17</v>
      </c>
      <c r="D648" s="2" t="s">
        <v>1324</v>
      </c>
      <c r="H648" s="2" t="s">
        <v>3248</v>
      </c>
      <c r="J648" s="7" t="str">
        <f t="shared" si="108"/>
        <v>Phillips</v>
      </c>
      <c r="K648" s="7" t="str">
        <f t="shared" si="109"/>
        <v xml:space="preserve">MD  </v>
      </c>
      <c r="L648" s="7" t="str">
        <f t="shared" si="114"/>
        <v xml:space="preserve">MD </v>
      </c>
      <c r="M648" s="7" t="str">
        <f t="shared" si="115"/>
        <v xml:space="preserve">MD </v>
      </c>
      <c r="N648" s="9">
        <f t="shared" si="116"/>
        <v>39.47</v>
      </c>
      <c r="O648" s="9">
        <f t="shared" si="117"/>
        <v>76.17</v>
      </c>
    </row>
    <row r="649" spans="1:15" x14ac:dyDescent="0.2">
      <c r="A649" s="1" t="s">
        <v>1325</v>
      </c>
      <c r="B649" s="2">
        <v>38.33</v>
      </c>
      <c r="C649" s="2">
        <v>75.5</v>
      </c>
      <c r="D649" s="2" t="s">
        <v>1326</v>
      </c>
      <c r="H649" s="2" t="s">
        <v>3249</v>
      </c>
      <c r="J649" s="7" t="str">
        <f t="shared" si="108"/>
        <v>Salisbury</v>
      </c>
      <c r="K649" s="7" t="str">
        <f t="shared" si="109"/>
        <v xml:space="preserve">MD  </v>
      </c>
      <c r="L649" s="7" t="str">
        <f t="shared" si="114"/>
        <v xml:space="preserve">MD </v>
      </c>
      <c r="M649" s="7" t="str">
        <f t="shared" si="115"/>
        <v xml:space="preserve">MD </v>
      </c>
      <c r="N649" s="9">
        <f t="shared" si="116"/>
        <v>38.33</v>
      </c>
      <c r="O649" s="9">
        <f t="shared" si="117"/>
        <v>75.5</v>
      </c>
    </row>
    <row r="650" spans="1:15" x14ac:dyDescent="0.2">
      <c r="A650" s="4"/>
      <c r="H650" s="2" t="s">
        <v>2726</v>
      </c>
      <c r="J650" s="7"/>
      <c r="K650" s="7"/>
      <c r="L650" s="7"/>
      <c r="M650" s="7"/>
      <c r="N650" s="9"/>
      <c r="O650" s="9"/>
    </row>
    <row r="651" spans="1:15" x14ac:dyDescent="0.2">
      <c r="A651" s="1" t="s">
        <v>20</v>
      </c>
      <c r="H651" s="2" t="s">
        <v>2726</v>
      </c>
      <c r="J651" s="7"/>
      <c r="K651" s="7"/>
      <c r="L651" s="7"/>
      <c r="M651" s="7"/>
      <c r="N651" s="9"/>
      <c r="O651" s="9"/>
    </row>
    <row r="652" spans="1:15" x14ac:dyDescent="0.2">
      <c r="A652" s="4"/>
      <c r="H652" s="2" t="s">
        <v>2726</v>
      </c>
      <c r="J652" s="7"/>
      <c r="K652" s="7"/>
      <c r="L652" s="7"/>
      <c r="M652" s="7"/>
      <c r="N652" s="9"/>
      <c r="O652" s="9"/>
    </row>
    <row r="653" spans="1:15" x14ac:dyDescent="0.2">
      <c r="A653" s="1" t="s">
        <v>1327</v>
      </c>
      <c r="B653" s="2">
        <v>42.47</v>
      </c>
      <c r="C653" s="2">
        <v>71.28</v>
      </c>
      <c r="D653" s="2" t="s">
        <v>1328</v>
      </c>
      <c r="H653" s="2" t="s">
        <v>3250</v>
      </c>
      <c r="J653" s="7" t="str">
        <f t="shared" si="108"/>
        <v>Bedford</v>
      </c>
      <c r="K653" s="7" t="str">
        <f t="shared" si="109"/>
        <v xml:space="preserve">MA  </v>
      </c>
      <c r="L653" s="7" t="str">
        <f t="shared" ref="L653:L670" si="118">LEFT(K653,LEN(K653)-1)</f>
        <v xml:space="preserve">MA </v>
      </c>
      <c r="M653" s="7" t="str">
        <f t="shared" ref="M653:M670" si="119">SUBSTITUTE(L653,",","")</f>
        <v xml:space="preserve">MA </v>
      </c>
      <c r="N653" s="9">
        <f t="shared" ref="N653:N670" si="120">B653</f>
        <v>42.47</v>
      </c>
      <c r="O653" s="9">
        <f t="shared" ref="O653:O670" si="121">C653</f>
        <v>71.28</v>
      </c>
    </row>
    <row r="654" spans="1:15" x14ac:dyDescent="0.2">
      <c r="A654" s="1" t="s">
        <v>1329</v>
      </c>
      <c r="B654" s="2">
        <v>42.58</v>
      </c>
      <c r="C654" s="2">
        <v>70.92</v>
      </c>
      <c r="D654" s="2" t="s">
        <v>1330</v>
      </c>
      <c r="H654" s="2" t="s">
        <v>3251</v>
      </c>
      <c r="J654" s="7" t="str">
        <f t="shared" si="108"/>
        <v>Beverly</v>
      </c>
      <c r="K654" s="7" t="str">
        <f t="shared" si="109"/>
        <v xml:space="preserve">MA  </v>
      </c>
      <c r="L654" s="7" t="str">
        <f t="shared" si="118"/>
        <v xml:space="preserve">MA </v>
      </c>
      <c r="M654" s="7" t="str">
        <f t="shared" si="119"/>
        <v xml:space="preserve">MA </v>
      </c>
      <c r="N654" s="9">
        <f t="shared" si="120"/>
        <v>42.58</v>
      </c>
      <c r="O654" s="9">
        <f t="shared" si="121"/>
        <v>70.92</v>
      </c>
    </row>
    <row r="655" spans="1:15" x14ac:dyDescent="0.2">
      <c r="A655" s="1" t="s">
        <v>1331</v>
      </c>
      <c r="B655" s="2">
        <v>42.37</v>
      </c>
      <c r="C655" s="2">
        <v>71.03</v>
      </c>
      <c r="D655" s="2" t="s">
        <v>1332</v>
      </c>
      <c r="H655" s="2" t="s">
        <v>3252</v>
      </c>
      <c r="J655" s="7" t="str">
        <f t="shared" si="108"/>
        <v>Boston</v>
      </c>
      <c r="K655" s="7" t="str">
        <f t="shared" si="109"/>
        <v xml:space="preserve">MA  </v>
      </c>
      <c r="L655" s="7" t="str">
        <f t="shared" si="118"/>
        <v xml:space="preserve">MA </v>
      </c>
      <c r="M655" s="7" t="str">
        <f t="shared" si="119"/>
        <v xml:space="preserve">MA </v>
      </c>
      <c r="N655" s="9">
        <f t="shared" si="120"/>
        <v>42.37</v>
      </c>
      <c r="O655" s="9">
        <f t="shared" si="121"/>
        <v>71.03</v>
      </c>
    </row>
    <row r="656" spans="1:15" x14ac:dyDescent="0.2">
      <c r="A656" s="1" t="s">
        <v>1333</v>
      </c>
      <c r="B656" s="2">
        <v>41.78</v>
      </c>
      <c r="C656" s="2">
        <v>70.5</v>
      </c>
      <c r="D656" s="2" t="s">
        <v>131</v>
      </c>
      <c r="E656" s="2" t="s">
        <v>1334</v>
      </c>
      <c r="F656" s="2" t="s">
        <v>1335</v>
      </c>
      <c r="H656" s="2" t="s">
        <v>3253</v>
      </c>
      <c r="J656" s="7" t="str">
        <f t="shared" si="108"/>
        <v>Cape Cod C</v>
      </c>
      <c r="K656" s="7" t="str">
        <f t="shared" si="109"/>
        <v>n,MA</v>
      </c>
      <c r="L656" s="7" t="str">
        <f t="shared" si="118"/>
        <v>n,M</v>
      </c>
      <c r="M656" s="7" t="str">
        <f t="shared" si="119"/>
        <v>nM</v>
      </c>
      <c r="N656" s="9">
        <f t="shared" si="120"/>
        <v>41.78</v>
      </c>
      <c r="O656" s="9">
        <f t="shared" si="121"/>
        <v>70.5</v>
      </c>
    </row>
    <row r="657" spans="1:15" x14ac:dyDescent="0.2">
      <c r="A657" s="1" t="s">
        <v>1336</v>
      </c>
      <c r="B657" s="2">
        <v>41.67</v>
      </c>
      <c r="C657" s="2">
        <v>69.97</v>
      </c>
      <c r="D657" s="2" t="s">
        <v>1337</v>
      </c>
      <c r="H657" s="2" t="s">
        <v>3254</v>
      </c>
      <c r="J657" s="7" t="str">
        <f t="shared" si="108"/>
        <v>Chatham</v>
      </c>
      <c r="K657" s="7" t="str">
        <f t="shared" si="109"/>
        <v xml:space="preserve">MA  </v>
      </c>
      <c r="L657" s="7" t="str">
        <f t="shared" si="118"/>
        <v xml:space="preserve">MA </v>
      </c>
      <c r="M657" s="7" t="str">
        <f t="shared" si="119"/>
        <v xml:space="preserve">MA </v>
      </c>
      <c r="N657" s="9">
        <f t="shared" si="120"/>
        <v>41.67</v>
      </c>
      <c r="O657" s="9">
        <f t="shared" si="121"/>
        <v>69.97</v>
      </c>
    </row>
    <row r="658" spans="1:15" x14ac:dyDescent="0.2">
      <c r="A658" s="1" t="s">
        <v>1338</v>
      </c>
      <c r="B658" s="2">
        <v>42.57</v>
      </c>
      <c r="C658" s="2">
        <v>71.599999999999994</v>
      </c>
      <c r="D658" s="2" t="s">
        <v>71</v>
      </c>
      <c r="E658" s="2" t="s">
        <v>1339</v>
      </c>
      <c r="H658" s="2" t="s">
        <v>3255</v>
      </c>
      <c r="J658" s="7" t="str">
        <f t="shared" si="108"/>
        <v>Fort Deven</v>
      </c>
      <c r="K658" s="7" t="str">
        <f t="shared" si="109"/>
        <v xml:space="preserve">,MA </v>
      </c>
      <c r="L658" s="7" t="str">
        <f t="shared" si="118"/>
        <v>,MA</v>
      </c>
      <c r="M658" s="7" t="str">
        <f t="shared" si="119"/>
        <v>MA</v>
      </c>
      <c r="N658" s="9">
        <f t="shared" si="120"/>
        <v>42.57</v>
      </c>
      <c r="O658" s="9">
        <f t="shared" si="121"/>
        <v>71.599999999999994</v>
      </c>
    </row>
    <row r="659" spans="1:15" x14ac:dyDescent="0.2">
      <c r="A659" s="1" t="s">
        <v>1340</v>
      </c>
      <c r="B659" s="2">
        <v>41.67</v>
      </c>
      <c r="C659" s="2">
        <v>70.28</v>
      </c>
      <c r="D659" s="2" t="s">
        <v>1341</v>
      </c>
      <c r="H659" s="2" t="s">
        <v>3256</v>
      </c>
      <c r="J659" s="7" t="str">
        <f t="shared" si="108"/>
        <v>Hyannis</v>
      </c>
      <c r="K659" s="7" t="str">
        <f t="shared" si="109"/>
        <v xml:space="preserve">MA  </v>
      </c>
      <c r="L659" s="7" t="str">
        <f t="shared" si="118"/>
        <v xml:space="preserve">MA </v>
      </c>
      <c r="M659" s="7" t="str">
        <f t="shared" si="119"/>
        <v xml:space="preserve">MA </v>
      </c>
      <c r="N659" s="9">
        <f t="shared" si="120"/>
        <v>41.67</v>
      </c>
      <c r="O659" s="9">
        <f t="shared" si="121"/>
        <v>70.28</v>
      </c>
    </row>
    <row r="660" spans="1:15" x14ac:dyDescent="0.2">
      <c r="A660" s="1" t="s">
        <v>1342</v>
      </c>
      <c r="B660" s="2">
        <v>42.72</v>
      </c>
      <c r="C660" s="2">
        <v>71.12</v>
      </c>
      <c r="D660" s="2" t="s">
        <v>1343</v>
      </c>
      <c r="H660" s="2" t="s">
        <v>3257</v>
      </c>
      <c r="J660" s="7" t="str">
        <f t="shared" si="108"/>
        <v>Lawrence</v>
      </c>
      <c r="K660" s="7" t="str">
        <f t="shared" si="109"/>
        <v xml:space="preserve">MA  </v>
      </c>
      <c r="L660" s="7" t="str">
        <f t="shared" si="118"/>
        <v xml:space="preserve">MA </v>
      </c>
      <c r="M660" s="7" t="str">
        <f t="shared" si="119"/>
        <v xml:space="preserve">MA </v>
      </c>
      <c r="N660" s="9">
        <f t="shared" si="120"/>
        <v>42.72</v>
      </c>
      <c r="O660" s="9">
        <f t="shared" si="121"/>
        <v>71.12</v>
      </c>
    </row>
    <row r="661" spans="1:15" x14ac:dyDescent="0.2">
      <c r="A661" s="1" t="s">
        <v>1344</v>
      </c>
      <c r="B661" s="2">
        <v>41.4</v>
      </c>
      <c r="C661" s="2">
        <v>70.62</v>
      </c>
      <c r="D661" s="2" t="s">
        <v>1345</v>
      </c>
      <c r="E661" s="2" t="s">
        <v>1346</v>
      </c>
      <c r="H661" s="2" t="s">
        <v>3258</v>
      </c>
      <c r="J661" s="7" t="str">
        <f t="shared" si="108"/>
        <v>Marthas Vin</v>
      </c>
      <c r="K661" s="7" t="str">
        <f t="shared" si="109"/>
        <v xml:space="preserve">,MA </v>
      </c>
      <c r="L661" s="7" t="str">
        <f t="shared" si="118"/>
        <v>,MA</v>
      </c>
      <c r="M661" s="7" t="str">
        <f t="shared" si="119"/>
        <v>MA</v>
      </c>
      <c r="N661" s="9">
        <f t="shared" si="120"/>
        <v>41.4</v>
      </c>
      <c r="O661" s="9">
        <f t="shared" si="121"/>
        <v>70.62</v>
      </c>
    </row>
    <row r="662" spans="1:15" x14ac:dyDescent="0.2">
      <c r="A662" s="1" t="s">
        <v>1347</v>
      </c>
      <c r="B662" s="2">
        <v>41.25</v>
      </c>
      <c r="C662" s="2">
        <v>70.069999999999993</v>
      </c>
      <c r="D662" s="2" t="s">
        <v>1348</v>
      </c>
      <c r="H662" s="2" t="s">
        <v>3259</v>
      </c>
      <c r="J662" s="7" t="str">
        <f t="shared" ref="J662:J725" si="122">LEFT(H662,LEN(H662)-5)</f>
        <v>Nantucket</v>
      </c>
      <c r="K662" s="7" t="str">
        <f t="shared" ref="K662:K725" si="123">RIGHT(H662,4)</f>
        <v xml:space="preserve">MA  </v>
      </c>
      <c r="L662" s="7" t="str">
        <f t="shared" si="118"/>
        <v xml:space="preserve">MA </v>
      </c>
      <c r="M662" s="7" t="str">
        <f t="shared" si="119"/>
        <v xml:space="preserve">MA </v>
      </c>
      <c r="N662" s="9">
        <f t="shared" si="120"/>
        <v>41.25</v>
      </c>
      <c r="O662" s="9">
        <f t="shared" si="121"/>
        <v>70.069999999999993</v>
      </c>
    </row>
    <row r="663" spans="1:15" x14ac:dyDescent="0.2">
      <c r="A663" s="1" t="s">
        <v>1349</v>
      </c>
      <c r="B663" s="2">
        <v>41.68</v>
      </c>
      <c r="C663" s="2">
        <v>70.97</v>
      </c>
      <c r="D663" s="2" t="s">
        <v>44</v>
      </c>
      <c r="E663" s="2" t="s">
        <v>1328</v>
      </c>
      <c r="H663" s="2" t="s">
        <v>3260</v>
      </c>
      <c r="J663" s="7" t="str">
        <f t="shared" si="122"/>
        <v>New Bedfor</v>
      </c>
      <c r="K663" s="7" t="str">
        <f t="shared" si="123"/>
        <v xml:space="preserve">,MA </v>
      </c>
      <c r="L663" s="7" t="str">
        <f t="shared" si="118"/>
        <v>,MA</v>
      </c>
      <c r="M663" s="7" t="str">
        <f t="shared" si="119"/>
        <v>MA</v>
      </c>
      <c r="N663" s="9">
        <f t="shared" si="120"/>
        <v>41.68</v>
      </c>
      <c r="O663" s="9">
        <f t="shared" si="121"/>
        <v>70.97</v>
      </c>
    </row>
    <row r="664" spans="1:15" x14ac:dyDescent="0.2">
      <c r="A664" s="1" t="s">
        <v>1350</v>
      </c>
      <c r="B664" s="2">
        <v>42.18</v>
      </c>
      <c r="C664" s="2">
        <v>71.180000000000007</v>
      </c>
      <c r="D664" s="2" t="s">
        <v>1351</v>
      </c>
      <c r="H664" s="2" t="s">
        <v>3261</v>
      </c>
      <c r="J664" s="7" t="str">
        <f t="shared" si="122"/>
        <v>Norwood</v>
      </c>
      <c r="K664" s="7" t="str">
        <f t="shared" si="123"/>
        <v xml:space="preserve">MA  </v>
      </c>
      <c r="L664" s="7" t="str">
        <f t="shared" si="118"/>
        <v xml:space="preserve">MA </v>
      </c>
      <c r="M664" s="7" t="str">
        <f t="shared" si="119"/>
        <v xml:space="preserve">MA </v>
      </c>
      <c r="N664" s="9">
        <f t="shared" si="120"/>
        <v>42.18</v>
      </c>
      <c r="O664" s="9">
        <f t="shared" si="121"/>
        <v>71.180000000000007</v>
      </c>
    </row>
    <row r="665" spans="1:15" x14ac:dyDescent="0.2">
      <c r="A665" s="1" t="s">
        <v>1352</v>
      </c>
      <c r="B665" s="2">
        <v>41.65</v>
      </c>
      <c r="C665" s="2">
        <v>70.52</v>
      </c>
      <c r="D665" s="2" t="s">
        <v>1353</v>
      </c>
      <c r="E665" s="2" t="s">
        <v>1354</v>
      </c>
      <c r="H665" s="2" t="s">
        <v>3262</v>
      </c>
      <c r="J665" s="7" t="str">
        <f t="shared" si="122"/>
        <v>Otis ANG</v>
      </c>
      <c r="K665" s="7" t="str">
        <f t="shared" si="123"/>
        <v xml:space="preserve">,MA </v>
      </c>
      <c r="L665" s="7" t="str">
        <f t="shared" si="118"/>
        <v>,MA</v>
      </c>
      <c r="M665" s="7" t="str">
        <f t="shared" si="119"/>
        <v>MA</v>
      </c>
      <c r="N665" s="9">
        <f t="shared" si="120"/>
        <v>41.65</v>
      </c>
      <c r="O665" s="9">
        <f t="shared" si="121"/>
        <v>70.52</v>
      </c>
    </row>
    <row r="666" spans="1:15" x14ac:dyDescent="0.2">
      <c r="A666" s="1" t="s">
        <v>1355</v>
      </c>
      <c r="B666" s="2">
        <v>42.26</v>
      </c>
      <c r="C666" s="2">
        <v>73.180000000000007</v>
      </c>
      <c r="D666" s="2" t="s">
        <v>1356</v>
      </c>
      <c r="H666" s="2" t="s">
        <v>3263</v>
      </c>
      <c r="J666" s="7" t="str">
        <f t="shared" si="122"/>
        <v>Pittsfield</v>
      </c>
      <c r="K666" s="7" t="str">
        <f t="shared" si="123"/>
        <v xml:space="preserve">MA  </v>
      </c>
      <c r="L666" s="7" t="str">
        <f t="shared" si="118"/>
        <v xml:space="preserve">MA </v>
      </c>
      <c r="M666" s="7" t="str">
        <f t="shared" si="119"/>
        <v xml:space="preserve">MA </v>
      </c>
      <c r="N666" s="9">
        <f t="shared" si="120"/>
        <v>42.26</v>
      </c>
      <c r="O666" s="9">
        <f t="shared" si="121"/>
        <v>73.180000000000007</v>
      </c>
    </row>
    <row r="667" spans="1:15" x14ac:dyDescent="0.2">
      <c r="A667" s="1" t="s">
        <v>1357</v>
      </c>
      <c r="B667" s="2">
        <v>42.15</v>
      </c>
      <c r="C667" s="2">
        <v>70.930000000000007</v>
      </c>
      <c r="D667" s="2" t="s">
        <v>1270</v>
      </c>
      <c r="E667" s="2" t="s">
        <v>1358</v>
      </c>
      <c r="H667" s="2" t="s">
        <v>3264</v>
      </c>
      <c r="J667" s="7" t="str">
        <f t="shared" si="122"/>
        <v>S Weymout</v>
      </c>
      <c r="K667" s="7" t="str">
        <f t="shared" si="123"/>
        <v xml:space="preserve">,MA </v>
      </c>
      <c r="L667" s="7" t="str">
        <f t="shared" si="118"/>
        <v>,MA</v>
      </c>
      <c r="M667" s="7" t="str">
        <f t="shared" si="119"/>
        <v>MA</v>
      </c>
      <c r="N667" s="9">
        <f t="shared" si="120"/>
        <v>42.15</v>
      </c>
      <c r="O667" s="9">
        <f t="shared" si="121"/>
        <v>70.930000000000007</v>
      </c>
    </row>
    <row r="668" spans="1:15" x14ac:dyDescent="0.2">
      <c r="A668" s="1" t="s">
        <v>1359</v>
      </c>
      <c r="B668" s="2">
        <v>42.17</v>
      </c>
      <c r="C668" s="2">
        <v>72.72</v>
      </c>
      <c r="D668" s="2" t="s">
        <v>1360</v>
      </c>
      <c r="H668" s="2" t="s">
        <v>3265</v>
      </c>
      <c r="J668" s="7" t="str">
        <f t="shared" si="122"/>
        <v>Westfield</v>
      </c>
      <c r="K668" s="7" t="str">
        <f t="shared" si="123"/>
        <v xml:space="preserve">MA  </v>
      </c>
      <c r="L668" s="7" t="str">
        <f t="shared" si="118"/>
        <v xml:space="preserve">MA </v>
      </c>
      <c r="M668" s="7" t="str">
        <f t="shared" si="119"/>
        <v xml:space="preserve">MA </v>
      </c>
      <c r="N668" s="9">
        <f t="shared" si="120"/>
        <v>42.17</v>
      </c>
      <c r="O668" s="9">
        <f t="shared" si="121"/>
        <v>72.72</v>
      </c>
    </row>
    <row r="669" spans="1:15" x14ac:dyDescent="0.2">
      <c r="A669" s="1" t="s">
        <v>1361</v>
      </c>
      <c r="B669" s="2">
        <v>42.2</v>
      </c>
      <c r="C669" s="2">
        <v>72.53</v>
      </c>
      <c r="D669" s="2" t="s">
        <v>1362</v>
      </c>
      <c r="H669" s="2" t="s">
        <v>3266</v>
      </c>
      <c r="J669" s="7" t="str">
        <f t="shared" si="122"/>
        <v>Westover</v>
      </c>
      <c r="K669" s="7" t="str">
        <f t="shared" si="123"/>
        <v xml:space="preserve">MA  </v>
      </c>
      <c r="L669" s="7" t="str">
        <f t="shared" si="118"/>
        <v xml:space="preserve">MA </v>
      </c>
      <c r="M669" s="7" t="str">
        <f t="shared" si="119"/>
        <v xml:space="preserve">MA </v>
      </c>
      <c r="N669" s="9">
        <f t="shared" si="120"/>
        <v>42.2</v>
      </c>
      <c r="O669" s="9">
        <f t="shared" si="121"/>
        <v>72.53</v>
      </c>
    </row>
    <row r="670" spans="1:15" x14ac:dyDescent="0.2">
      <c r="A670" s="1" t="s">
        <v>1363</v>
      </c>
      <c r="B670" s="2">
        <v>42.27</v>
      </c>
      <c r="C670" s="2">
        <v>71.87</v>
      </c>
      <c r="D670" s="2" t="s">
        <v>1364</v>
      </c>
      <c r="H670" s="2" t="s">
        <v>3267</v>
      </c>
      <c r="J670" s="7" t="str">
        <f t="shared" si="122"/>
        <v>Worcester</v>
      </c>
      <c r="K670" s="7" t="str">
        <f t="shared" si="123"/>
        <v xml:space="preserve">MA  </v>
      </c>
      <c r="L670" s="7" t="str">
        <f t="shared" si="118"/>
        <v xml:space="preserve">MA </v>
      </c>
      <c r="M670" s="7" t="str">
        <f t="shared" si="119"/>
        <v xml:space="preserve">MA </v>
      </c>
      <c r="N670" s="9">
        <f t="shared" si="120"/>
        <v>42.27</v>
      </c>
      <c r="O670" s="9">
        <f t="shared" si="121"/>
        <v>71.87</v>
      </c>
    </row>
    <row r="671" spans="1:15" x14ac:dyDescent="0.2">
      <c r="A671" s="4"/>
      <c r="H671" s="2" t="s">
        <v>2726</v>
      </c>
      <c r="J671" s="7"/>
      <c r="K671" s="7"/>
      <c r="L671" s="7"/>
      <c r="M671" s="7"/>
      <c r="N671" s="9"/>
      <c r="O671" s="9"/>
    </row>
    <row r="672" spans="1:15" x14ac:dyDescent="0.2">
      <c r="A672" s="1" t="s">
        <v>21</v>
      </c>
      <c r="H672" s="2" t="s">
        <v>2726</v>
      </c>
      <c r="J672" s="7"/>
      <c r="K672" s="7"/>
      <c r="L672" s="7"/>
      <c r="M672" s="7"/>
      <c r="N672" s="9"/>
      <c r="O672" s="9"/>
    </row>
    <row r="673" spans="1:15" x14ac:dyDescent="0.2">
      <c r="A673" s="4"/>
      <c r="H673" s="2" t="s">
        <v>2726</v>
      </c>
      <c r="J673" s="7"/>
      <c r="K673" s="7"/>
      <c r="L673" s="7"/>
      <c r="M673" s="7"/>
      <c r="N673" s="9"/>
      <c r="O673" s="9"/>
    </row>
    <row r="674" spans="1:15" x14ac:dyDescent="0.2">
      <c r="A674" s="1" t="s">
        <v>1365</v>
      </c>
      <c r="B674" s="2">
        <v>45.07</v>
      </c>
      <c r="C674" s="2">
        <v>83.57</v>
      </c>
      <c r="D674" s="2" t="s">
        <v>1366</v>
      </c>
      <c r="H674" s="2" t="s">
        <v>3268</v>
      </c>
      <c r="J674" s="7" t="str">
        <f t="shared" si="122"/>
        <v>Alpena</v>
      </c>
      <c r="K674" s="7" t="str">
        <f t="shared" si="123"/>
        <v xml:space="preserve">MI  </v>
      </c>
      <c r="L674" s="7" t="str">
        <f t="shared" ref="L674:L707" si="124">LEFT(K674,LEN(K674)-1)</f>
        <v xml:space="preserve">MI </v>
      </c>
      <c r="M674" s="7" t="str">
        <f t="shared" ref="M674:M707" si="125">SUBSTITUTE(L674,",","")</f>
        <v xml:space="preserve">MI </v>
      </c>
      <c r="N674" s="9">
        <f t="shared" ref="N674:N707" si="126">B674</f>
        <v>45.07</v>
      </c>
      <c r="O674" s="9">
        <f t="shared" ref="O674:O707" si="127">C674</f>
        <v>83.57</v>
      </c>
    </row>
    <row r="675" spans="1:15" x14ac:dyDescent="0.2">
      <c r="A675" s="1" t="s">
        <v>1367</v>
      </c>
      <c r="B675" s="2">
        <v>42.22</v>
      </c>
      <c r="C675" s="2">
        <v>83.75</v>
      </c>
      <c r="D675" s="2" t="s">
        <v>1368</v>
      </c>
      <c r="E675" s="2" t="s">
        <v>1369</v>
      </c>
      <c r="H675" s="2" t="s">
        <v>3868</v>
      </c>
      <c r="J675" s="7" t="str">
        <f t="shared" si="122"/>
        <v>Ann Arbor</v>
      </c>
      <c r="K675" s="7" t="str">
        <f t="shared" si="123"/>
        <v xml:space="preserve">MI  </v>
      </c>
      <c r="L675" s="7" t="str">
        <f t="shared" si="124"/>
        <v xml:space="preserve">MI </v>
      </c>
      <c r="M675" s="7" t="str">
        <f t="shared" si="125"/>
        <v xml:space="preserve">MI </v>
      </c>
      <c r="N675" s="9">
        <f t="shared" si="126"/>
        <v>42.22</v>
      </c>
      <c r="O675" s="9">
        <f t="shared" si="127"/>
        <v>83.75</v>
      </c>
    </row>
    <row r="676" spans="1:15" x14ac:dyDescent="0.2">
      <c r="A676" s="1" t="s">
        <v>1370</v>
      </c>
      <c r="B676" s="2">
        <v>42.3</v>
      </c>
      <c r="C676" s="2">
        <v>85.23</v>
      </c>
      <c r="D676" s="2" t="s">
        <v>1371</v>
      </c>
      <c r="E676" s="2" t="s">
        <v>1372</v>
      </c>
      <c r="H676" s="2" t="s">
        <v>3269</v>
      </c>
      <c r="J676" s="7" t="str">
        <f t="shared" si="122"/>
        <v>Battle Cree</v>
      </c>
      <c r="K676" s="7" t="str">
        <f t="shared" si="123"/>
        <v xml:space="preserve">,MI </v>
      </c>
      <c r="L676" s="7" t="str">
        <f t="shared" si="124"/>
        <v>,MI</v>
      </c>
      <c r="M676" s="7" t="str">
        <f t="shared" si="125"/>
        <v>MI</v>
      </c>
      <c r="N676" s="9">
        <f t="shared" si="126"/>
        <v>42.3</v>
      </c>
      <c r="O676" s="9">
        <f t="shared" si="127"/>
        <v>85.23</v>
      </c>
    </row>
    <row r="677" spans="1:15" x14ac:dyDescent="0.2">
      <c r="A677" s="1" t="s">
        <v>1373</v>
      </c>
      <c r="B677" s="2">
        <v>42.13</v>
      </c>
      <c r="C677" s="2">
        <v>86.43</v>
      </c>
      <c r="D677" s="2" t="s">
        <v>1374</v>
      </c>
      <c r="E677" s="2" t="s">
        <v>1375</v>
      </c>
      <c r="H677" s="2" t="s">
        <v>3270</v>
      </c>
      <c r="J677" s="7" t="str">
        <f t="shared" si="122"/>
        <v>Benton Harbo</v>
      </c>
      <c r="K677" s="7" t="str">
        <f t="shared" si="123"/>
        <v xml:space="preserve">,MI </v>
      </c>
      <c r="L677" s="7" t="str">
        <f t="shared" si="124"/>
        <v>,MI</v>
      </c>
      <c r="M677" s="7" t="str">
        <f t="shared" si="125"/>
        <v>MI</v>
      </c>
      <c r="N677" s="9">
        <f t="shared" si="126"/>
        <v>42.13</v>
      </c>
      <c r="O677" s="9">
        <f t="shared" si="127"/>
        <v>86.43</v>
      </c>
    </row>
    <row r="678" spans="1:15" x14ac:dyDescent="0.2">
      <c r="A678" s="1" t="s">
        <v>1376</v>
      </c>
      <c r="B678" s="2">
        <v>46.25</v>
      </c>
      <c r="C678" s="2">
        <v>84.47</v>
      </c>
      <c r="D678" s="2" t="s">
        <v>1377</v>
      </c>
      <c r="H678" s="2" t="s">
        <v>3271</v>
      </c>
      <c r="J678" s="7" t="str">
        <f t="shared" si="122"/>
        <v>Chippewa</v>
      </c>
      <c r="K678" s="7" t="str">
        <f t="shared" si="123"/>
        <v xml:space="preserve">MI  </v>
      </c>
      <c r="L678" s="7" t="str">
        <f t="shared" si="124"/>
        <v xml:space="preserve">MI </v>
      </c>
      <c r="M678" s="7" t="str">
        <f t="shared" si="125"/>
        <v xml:space="preserve">MI </v>
      </c>
      <c r="N678" s="9">
        <f t="shared" si="126"/>
        <v>46.25</v>
      </c>
      <c r="O678" s="9">
        <f t="shared" si="127"/>
        <v>84.47</v>
      </c>
    </row>
    <row r="679" spans="1:15" x14ac:dyDescent="0.2">
      <c r="A679" s="1" t="s">
        <v>1378</v>
      </c>
      <c r="B679" s="2">
        <v>43.07</v>
      </c>
      <c r="C679" s="2">
        <v>85.95</v>
      </c>
      <c r="D679" s="2" t="s">
        <v>1379</v>
      </c>
      <c r="H679" s="2" t="s">
        <v>3272</v>
      </c>
      <c r="J679" s="7" t="str">
        <f t="shared" si="122"/>
        <v>Coopersville</v>
      </c>
      <c r="K679" s="7" t="str">
        <f t="shared" si="123"/>
        <v xml:space="preserve">MI  </v>
      </c>
      <c r="L679" s="7" t="str">
        <f t="shared" si="124"/>
        <v xml:space="preserve">MI </v>
      </c>
      <c r="M679" s="7" t="str">
        <f t="shared" si="125"/>
        <v xml:space="preserve">MI </v>
      </c>
      <c r="N679" s="9">
        <f t="shared" si="126"/>
        <v>43.07</v>
      </c>
      <c r="O679" s="9">
        <f t="shared" si="127"/>
        <v>85.95</v>
      </c>
    </row>
    <row r="680" spans="1:15" x14ac:dyDescent="0.2">
      <c r="A680" s="1" t="s">
        <v>1380</v>
      </c>
      <c r="B680" s="2">
        <v>47.47</v>
      </c>
      <c r="C680" s="2">
        <v>87.85</v>
      </c>
      <c r="D680" s="2" t="s">
        <v>1381</v>
      </c>
      <c r="E680" s="2" t="s">
        <v>1382</v>
      </c>
      <c r="H680" s="2" t="s">
        <v>3273</v>
      </c>
      <c r="J680" s="7" t="str">
        <f t="shared" si="122"/>
        <v>Copper Har</v>
      </c>
      <c r="K680" s="7" t="str">
        <f t="shared" si="123"/>
        <v xml:space="preserve">,MI </v>
      </c>
      <c r="L680" s="7" t="str">
        <f t="shared" si="124"/>
        <v>,MI</v>
      </c>
      <c r="M680" s="7" t="str">
        <f t="shared" si="125"/>
        <v>MI</v>
      </c>
      <c r="N680" s="9">
        <f t="shared" si="126"/>
        <v>47.47</v>
      </c>
      <c r="O680" s="9">
        <f t="shared" si="127"/>
        <v>87.85</v>
      </c>
    </row>
    <row r="681" spans="1:15" x14ac:dyDescent="0.2">
      <c r="A681" s="1" t="s">
        <v>1383</v>
      </c>
      <c r="B681" s="2">
        <v>42.42</v>
      </c>
      <c r="C681" s="2">
        <v>83.02</v>
      </c>
      <c r="D681" s="2" t="s">
        <v>1384</v>
      </c>
      <c r="H681" s="2" t="s">
        <v>3274</v>
      </c>
      <c r="J681" s="7" t="str">
        <f t="shared" si="122"/>
        <v>Detroit</v>
      </c>
      <c r="K681" s="7" t="str">
        <f t="shared" si="123"/>
        <v xml:space="preserve">MI  </v>
      </c>
      <c r="L681" s="7" t="str">
        <f t="shared" si="124"/>
        <v xml:space="preserve">MI </v>
      </c>
      <c r="M681" s="7" t="str">
        <f t="shared" si="125"/>
        <v xml:space="preserve">MI </v>
      </c>
      <c r="N681" s="9">
        <f t="shared" si="126"/>
        <v>42.42</v>
      </c>
      <c r="O681" s="9">
        <f t="shared" si="127"/>
        <v>83.02</v>
      </c>
    </row>
    <row r="682" spans="1:15" x14ac:dyDescent="0.2">
      <c r="A682" s="1" t="s">
        <v>1385</v>
      </c>
      <c r="B682" s="2">
        <v>42.23</v>
      </c>
      <c r="C682" s="2">
        <v>83.33</v>
      </c>
      <c r="D682" s="2" t="s">
        <v>1384</v>
      </c>
      <c r="H682" s="2" t="s">
        <v>3274</v>
      </c>
      <c r="J682" s="7" t="str">
        <f t="shared" si="122"/>
        <v>Detroit</v>
      </c>
      <c r="K682" s="7" t="str">
        <f t="shared" si="123"/>
        <v xml:space="preserve">MI  </v>
      </c>
      <c r="L682" s="7" t="str">
        <f t="shared" si="124"/>
        <v xml:space="preserve">MI </v>
      </c>
      <c r="M682" s="7" t="str">
        <f t="shared" si="125"/>
        <v xml:space="preserve">MI </v>
      </c>
      <c r="N682" s="9">
        <f t="shared" si="126"/>
        <v>42.23</v>
      </c>
      <c r="O682" s="9">
        <f t="shared" si="127"/>
        <v>83.33</v>
      </c>
    </row>
    <row r="683" spans="1:15" x14ac:dyDescent="0.2">
      <c r="A683" s="1" t="s">
        <v>1386</v>
      </c>
      <c r="B683" s="2">
        <v>45.73</v>
      </c>
      <c r="C683" s="2">
        <v>87.08</v>
      </c>
      <c r="D683" s="2" t="s">
        <v>1387</v>
      </c>
      <c r="H683" s="2" t="s">
        <v>3275</v>
      </c>
      <c r="J683" s="7" t="str">
        <f t="shared" si="122"/>
        <v>Escanaba</v>
      </c>
      <c r="K683" s="7" t="str">
        <f t="shared" si="123"/>
        <v xml:space="preserve">MI  </v>
      </c>
      <c r="L683" s="7" t="str">
        <f t="shared" si="124"/>
        <v xml:space="preserve">MI </v>
      </c>
      <c r="M683" s="7" t="str">
        <f t="shared" si="125"/>
        <v xml:space="preserve">MI </v>
      </c>
      <c r="N683" s="9">
        <f t="shared" si="126"/>
        <v>45.73</v>
      </c>
      <c r="O683" s="9">
        <f t="shared" si="127"/>
        <v>87.08</v>
      </c>
    </row>
    <row r="684" spans="1:15" x14ac:dyDescent="0.2">
      <c r="A684" s="1" t="s">
        <v>1388</v>
      </c>
      <c r="B684" s="2">
        <v>42.97</v>
      </c>
      <c r="C684" s="2">
        <v>83.75</v>
      </c>
      <c r="D684" s="2" t="s">
        <v>1389</v>
      </c>
      <c r="H684" s="2" t="s">
        <v>3276</v>
      </c>
      <c r="J684" s="7" t="str">
        <f t="shared" si="122"/>
        <v>Flint/Bishop</v>
      </c>
      <c r="K684" s="7" t="str">
        <f t="shared" si="123"/>
        <v xml:space="preserve">MI  </v>
      </c>
      <c r="L684" s="7" t="str">
        <f t="shared" si="124"/>
        <v xml:space="preserve">MI </v>
      </c>
      <c r="M684" s="7" t="str">
        <f t="shared" si="125"/>
        <v xml:space="preserve">MI </v>
      </c>
      <c r="N684" s="9">
        <f t="shared" si="126"/>
        <v>42.97</v>
      </c>
      <c r="O684" s="9">
        <f t="shared" si="127"/>
        <v>83.75</v>
      </c>
    </row>
    <row r="685" spans="1:15" x14ac:dyDescent="0.2">
      <c r="A685" s="1" t="s">
        <v>1390</v>
      </c>
      <c r="B685" s="2">
        <v>42.88</v>
      </c>
      <c r="C685" s="2">
        <v>85.52</v>
      </c>
      <c r="D685" s="2" t="s">
        <v>354</v>
      </c>
      <c r="E685" s="2" t="s">
        <v>1391</v>
      </c>
      <c r="H685" s="2" t="s">
        <v>3277</v>
      </c>
      <c r="J685" s="7" t="str">
        <f t="shared" si="122"/>
        <v>Grand Rapid</v>
      </c>
      <c r="K685" s="7" t="str">
        <f t="shared" si="123"/>
        <v xml:space="preserve">,MI </v>
      </c>
      <c r="L685" s="7" t="str">
        <f t="shared" si="124"/>
        <v>,MI</v>
      </c>
      <c r="M685" s="7" t="str">
        <f t="shared" si="125"/>
        <v>MI</v>
      </c>
      <c r="N685" s="9">
        <f t="shared" si="126"/>
        <v>42.88</v>
      </c>
      <c r="O685" s="9">
        <f t="shared" si="127"/>
        <v>85.52</v>
      </c>
    </row>
    <row r="686" spans="1:15" x14ac:dyDescent="0.2">
      <c r="A686" s="1" t="s">
        <v>1392</v>
      </c>
      <c r="B686" s="2">
        <v>47.17</v>
      </c>
      <c r="C686" s="2">
        <v>88.5</v>
      </c>
      <c r="D686" s="2" t="s">
        <v>1393</v>
      </c>
      <c r="H686" s="2" t="s">
        <v>3278</v>
      </c>
      <c r="J686" s="7" t="str">
        <f t="shared" si="122"/>
        <v>Hancock</v>
      </c>
      <c r="K686" s="7" t="str">
        <f t="shared" si="123"/>
        <v xml:space="preserve">MI  </v>
      </c>
      <c r="L686" s="7" t="str">
        <f t="shared" si="124"/>
        <v xml:space="preserve">MI </v>
      </c>
      <c r="M686" s="7" t="str">
        <f t="shared" si="125"/>
        <v xml:space="preserve">MI </v>
      </c>
      <c r="N686" s="9">
        <f t="shared" si="126"/>
        <v>47.17</v>
      </c>
      <c r="O686" s="9">
        <f t="shared" si="127"/>
        <v>88.5</v>
      </c>
    </row>
    <row r="687" spans="1:15" x14ac:dyDescent="0.2">
      <c r="A687" s="1" t="s">
        <v>1394</v>
      </c>
      <c r="B687" s="2">
        <v>43.83</v>
      </c>
      <c r="C687" s="2">
        <v>82.53</v>
      </c>
      <c r="D687" s="2" t="s">
        <v>1395</v>
      </c>
      <c r="E687" s="2" t="s">
        <v>1396</v>
      </c>
      <c r="H687" s="2" t="s">
        <v>3279</v>
      </c>
      <c r="J687" s="7" t="str">
        <f t="shared" si="122"/>
        <v>Harbor Beac</v>
      </c>
      <c r="K687" s="7" t="str">
        <f t="shared" si="123"/>
        <v xml:space="preserve">,MI </v>
      </c>
      <c r="L687" s="7" t="str">
        <f t="shared" si="124"/>
        <v>,MI</v>
      </c>
      <c r="M687" s="7" t="str">
        <f t="shared" si="125"/>
        <v>MI</v>
      </c>
      <c r="N687" s="9">
        <f t="shared" si="126"/>
        <v>43.83</v>
      </c>
      <c r="O687" s="9">
        <f t="shared" si="127"/>
        <v>82.53</v>
      </c>
    </row>
    <row r="688" spans="1:15" x14ac:dyDescent="0.2">
      <c r="A688" s="1" t="s">
        <v>1397</v>
      </c>
      <c r="B688" s="2">
        <v>44.37</v>
      </c>
      <c r="C688" s="2">
        <v>84.68</v>
      </c>
      <c r="D688" s="2" t="s">
        <v>1398</v>
      </c>
      <c r="E688" s="2" t="s">
        <v>1399</v>
      </c>
      <c r="H688" s="2" t="s">
        <v>3280</v>
      </c>
      <c r="J688" s="7" t="str">
        <f t="shared" si="122"/>
        <v>Houghton Lak</v>
      </c>
      <c r="K688" s="7" t="str">
        <f t="shared" si="123"/>
        <v xml:space="preserve">,MI </v>
      </c>
      <c r="L688" s="7" t="str">
        <f t="shared" si="124"/>
        <v>,MI</v>
      </c>
      <c r="M688" s="7" t="str">
        <f t="shared" si="125"/>
        <v>MI</v>
      </c>
      <c r="N688" s="9">
        <f t="shared" si="126"/>
        <v>44.37</v>
      </c>
      <c r="O688" s="9">
        <f t="shared" si="127"/>
        <v>84.68</v>
      </c>
    </row>
    <row r="689" spans="1:15" x14ac:dyDescent="0.2">
      <c r="A689" s="1" t="s">
        <v>1400</v>
      </c>
      <c r="B689" s="2">
        <v>45.82</v>
      </c>
      <c r="C689" s="2">
        <v>88.12</v>
      </c>
      <c r="D689" s="2" t="s">
        <v>1401</v>
      </c>
      <c r="E689" s="2" t="s">
        <v>1402</v>
      </c>
      <c r="H689" s="2" t="s">
        <v>3281</v>
      </c>
      <c r="J689" s="7" t="str">
        <f t="shared" si="122"/>
        <v>Iron Mt</v>
      </c>
      <c r="K689" s="7" t="str">
        <f t="shared" si="123"/>
        <v xml:space="preserve">,MI </v>
      </c>
      <c r="L689" s="7" t="str">
        <f t="shared" si="124"/>
        <v>,MI</v>
      </c>
      <c r="M689" s="7" t="str">
        <f t="shared" si="125"/>
        <v>MI</v>
      </c>
      <c r="N689" s="9">
        <f t="shared" si="126"/>
        <v>45.82</v>
      </c>
      <c r="O689" s="9">
        <f t="shared" si="127"/>
        <v>88.12</v>
      </c>
    </row>
    <row r="690" spans="1:15" x14ac:dyDescent="0.2">
      <c r="A690" s="1" t="s">
        <v>1403</v>
      </c>
      <c r="B690" s="2">
        <v>46.53</v>
      </c>
      <c r="C690" s="2">
        <v>90.13</v>
      </c>
      <c r="D690" s="2" t="s">
        <v>1404</v>
      </c>
      <c r="H690" s="2" t="s">
        <v>3282</v>
      </c>
      <c r="J690" s="7" t="str">
        <f t="shared" si="122"/>
        <v>Ironwood</v>
      </c>
      <c r="K690" s="7" t="str">
        <f t="shared" si="123"/>
        <v xml:space="preserve">MI  </v>
      </c>
      <c r="L690" s="7" t="str">
        <f t="shared" si="124"/>
        <v xml:space="preserve">MI </v>
      </c>
      <c r="M690" s="7" t="str">
        <f t="shared" si="125"/>
        <v xml:space="preserve">MI </v>
      </c>
      <c r="N690" s="9">
        <f t="shared" si="126"/>
        <v>46.53</v>
      </c>
      <c r="O690" s="9">
        <f t="shared" si="127"/>
        <v>90.13</v>
      </c>
    </row>
    <row r="691" spans="1:15" x14ac:dyDescent="0.2">
      <c r="A691" s="1" t="s">
        <v>1405</v>
      </c>
      <c r="B691" s="2">
        <v>42.27</v>
      </c>
      <c r="C691" s="2">
        <v>84.47</v>
      </c>
      <c r="D691" s="2" t="s">
        <v>1406</v>
      </c>
      <c r="H691" s="2" t="s">
        <v>3283</v>
      </c>
      <c r="J691" s="7" t="str">
        <f t="shared" si="122"/>
        <v>Jackson</v>
      </c>
      <c r="K691" s="7" t="str">
        <f t="shared" si="123"/>
        <v xml:space="preserve">MI  </v>
      </c>
      <c r="L691" s="7" t="str">
        <f t="shared" si="124"/>
        <v xml:space="preserve">MI </v>
      </c>
      <c r="M691" s="7" t="str">
        <f t="shared" si="125"/>
        <v xml:space="preserve">MI </v>
      </c>
      <c r="N691" s="9">
        <f t="shared" si="126"/>
        <v>42.27</v>
      </c>
      <c r="O691" s="9">
        <f t="shared" si="127"/>
        <v>84.47</v>
      </c>
    </row>
    <row r="692" spans="1:15" x14ac:dyDescent="0.2">
      <c r="A692" s="1" t="s">
        <v>1407</v>
      </c>
      <c r="B692" s="2">
        <v>42.23</v>
      </c>
      <c r="C692" s="2">
        <v>85.55</v>
      </c>
      <c r="D692" s="2" t="s">
        <v>1408</v>
      </c>
      <c r="H692" s="2" t="s">
        <v>3284</v>
      </c>
      <c r="J692" s="7" t="str">
        <f t="shared" si="122"/>
        <v>Kalamazoo</v>
      </c>
      <c r="K692" s="7" t="str">
        <f t="shared" si="123"/>
        <v xml:space="preserve">MI  </v>
      </c>
      <c r="L692" s="7" t="str">
        <f t="shared" si="124"/>
        <v xml:space="preserve">MI </v>
      </c>
      <c r="M692" s="7" t="str">
        <f t="shared" si="125"/>
        <v xml:space="preserve">MI </v>
      </c>
      <c r="N692" s="9">
        <f t="shared" si="126"/>
        <v>42.23</v>
      </c>
      <c r="O692" s="9">
        <f t="shared" si="127"/>
        <v>85.55</v>
      </c>
    </row>
    <row r="693" spans="1:15" x14ac:dyDescent="0.2">
      <c r="A693" s="1" t="s">
        <v>1409</v>
      </c>
      <c r="B693" s="2">
        <v>42.77</v>
      </c>
      <c r="C693" s="2">
        <v>84.6</v>
      </c>
      <c r="D693" s="2" t="s">
        <v>1410</v>
      </c>
      <c r="H693" s="2" t="s">
        <v>3285</v>
      </c>
      <c r="J693" s="7" t="str">
        <f t="shared" si="122"/>
        <v>Lansing</v>
      </c>
      <c r="K693" s="7" t="str">
        <f t="shared" si="123"/>
        <v xml:space="preserve">MI  </v>
      </c>
      <c r="L693" s="7" t="str">
        <f t="shared" si="124"/>
        <v xml:space="preserve">MI </v>
      </c>
      <c r="M693" s="7" t="str">
        <f t="shared" si="125"/>
        <v xml:space="preserve">MI </v>
      </c>
      <c r="N693" s="9">
        <f t="shared" si="126"/>
        <v>42.77</v>
      </c>
      <c r="O693" s="9">
        <f t="shared" si="127"/>
        <v>84.6</v>
      </c>
    </row>
    <row r="694" spans="1:15" x14ac:dyDescent="0.2">
      <c r="A694" s="1" t="s">
        <v>1411</v>
      </c>
      <c r="B694" s="2">
        <v>44.27</v>
      </c>
      <c r="C694" s="2">
        <v>86.25</v>
      </c>
      <c r="D694" s="2" t="s">
        <v>1412</v>
      </c>
      <c r="H694" s="2" t="s">
        <v>3286</v>
      </c>
      <c r="J694" s="7" t="str">
        <f t="shared" si="122"/>
        <v>Manistee</v>
      </c>
      <c r="K694" s="7" t="str">
        <f t="shared" si="123"/>
        <v xml:space="preserve">MI  </v>
      </c>
      <c r="L694" s="7" t="str">
        <f t="shared" si="124"/>
        <v xml:space="preserve">MI </v>
      </c>
      <c r="M694" s="7" t="str">
        <f t="shared" si="125"/>
        <v xml:space="preserve">MI </v>
      </c>
      <c r="N694" s="9">
        <f t="shared" si="126"/>
        <v>44.27</v>
      </c>
      <c r="O694" s="9">
        <f t="shared" si="127"/>
        <v>86.25</v>
      </c>
    </row>
    <row r="695" spans="1:15" x14ac:dyDescent="0.2">
      <c r="A695" s="1" t="s">
        <v>1413</v>
      </c>
      <c r="B695" s="2">
        <v>46.88</v>
      </c>
      <c r="C695" s="2">
        <v>87.95</v>
      </c>
      <c r="D695" s="2" t="s">
        <v>1414</v>
      </c>
      <c r="H695" s="2" t="s">
        <v>3287</v>
      </c>
      <c r="J695" s="7" t="str">
        <f t="shared" si="122"/>
        <v>Marquette</v>
      </c>
      <c r="K695" s="7" t="str">
        <f t="shared" si="123"/>
        <v xml:space="preserve">MI  </v>
      </c>
      <c r="L695" s="7" t="str">
        <f t="shared" si="124"/>
        <v xml:space="preserve">MI </v>
      </c>
      <c r="M695" s="7" t="str">
        <f t="shared" si="125"/>
        <v xml:space="preserve">MI </v>
      </c>
      <c r="N695" s="9">
        <f t="shared" si="126"/>
        <v>46.88</v>
      </c>
      <c r="O695" s="9">
        <f t="shared" si="127"/>
        <v>87.95</v>
      </c>
    </row>
    <row r="696" spans="1:15" x14ac:dyDescent="0.2">
      <c r="A696" s="1" t="s">
        <v>1415</v>
      </c>
      <c r="B696" s="2">
        <v>45.12</v>
      </c>
      <c r="C696" s="2">
        <v>87.63</v>
      </c>
      <c r="D696" s="2" t="s">
        <v>1416</v>
      </c>
      <c r="H696" s="2" t="s">
        <v>3288</v>
      </c>
      <c r="J696" s="7" t="str">
        <f t="shared" si="122"/>
        <v>Menominee</v>
      </c>
      <c r="K696" s="7" t="str">
        <f t="shared" si="123"/>
        <v xml:space="preserve">MI  </v>
      </c>
      <c r="L696" s="7" t="str">
        <f t="shared" si="124"/>
        <v xml:space="preserve">MI </v>
      </c>
      <c r="M696" s="7" t="str">
        <f t="shared" si="125"/>
        <v xml:space="preserve">MI </v>
      </c>
      <c r="N696" s="9">
        <f t="shared" si="126"/>
        <v>45.12</v>
      </c>
      <c r="O696" s="9">
        <f t="shared" si="127"/>
        <v>87.63</v>
      </c>
    </row>
    <row r="697" spans="1:15" x14ac:dyDescent="0.2">
      <c r="A697" s="1" t="s">
        <v>1417</v>
      </c>
      <c r="B697" s="2">
        <v>43.17</v>
      </c>
      <c r="C697" s="2">
        <v>86.25</v>
      </c>
      <c r="D697" s="2" t="s">
        <v>1418</v>
      </c>
      <c r="H697" s="2" t="s">
        <v>3289</v>
      </c>
      <c r="J697" s="7" t="str">
        <f t="shared" si="122"/>
        <v>Muskegon</v>
      </c>
      <c r="K697" s="7" t="str">
        <f t="shared" si="123"/>
        <v xml:space="preserve">MI  </v>
      </c>
      <c r="L697" s="7" t="str">
        <f t="shared" si="124"/>
        <v xml:space="preserve">MI </v>
      </c>
      <c r="M697" s="7" t="str">
        <f t="shared" si="125"/>
        <v xml:space="preserve">MI </v>
      </c>
      <c r="N697" s="9">
        <f t="shared" si="126"/>
        <v>43.17</v>
      </c>
      <c r="O697" s="9">
        <f t="shared" si="127"/>
        <v>86.25</v>
      </c>
    </row>
    <row r="698" spans="1:15" x14ac:dyDescent="0.2">
      <c r="A698" s="1" t="s">
        <v>1419</v>
      </c>
      <c r="B698" s="2">
        <v>45.57</v>
      </c>
      <c r="C698" s="2">
        <v>84.8</v>
      </c>
      <c r="D698" s="2" t="s">
        <v>1420</v>
      </c>
      <c r="H698" s="2" t="s">
        <v>3290</v>
      </c>
      <c r="J698" s="7" t="str">
        <f t="shared" si="122"/>
        <v>Pellston</v>
      </c>
      <c r="K698" s="7" t="str">
        <f t="shared" si="123"/>
        <v xml:space="preserve">MI  </v>
      </c>
      <c r="L698" s="7" t="str">
        <f t="shared" si="124"/>
        <v xml:space="preserve">MI </v>
      </c>
      <c r="M698" s="7" t="str">
        <f t="shared" si="125"/>
        <v xml:space="preserve">MI </v>
      </c>
      <c r="N698" s="9">
        <f t="shared" si="126"/>
        <v>45.57</v>
      </c>
      <c r="O698" s="9">
        <f t="shared" si="127"/>
        <v>84.8</v>
      </c>
    </row>
    <row r="699" spans="1:15" x14ac:dyDescent="0.2">
      <c r="A699" s="1" t="s">
        <v>1421</v>
      </c>
      <c r="B699" s="2">
        <v>42.67</v>
      </c>
      <c r="C699" s="2">
        <v>83.42</v>
      </c>
      <c r="D699" s="2" t="s">
        <v>1422</v>
      </c>
      <c r="H699" s="2" t="s">
        <v>3291</v>
      </c>
      <c r="J699" s="7" t="str">
        <f t="shared" si="122"/>
        <v>Pontiac</v>
      </c>
      <c r="K699" s="7" t="str">
        <f t="shared" si="123"/>
        <v xml:space="preserve">MI  </v>
      </c>
      <c r="L699" s="7" t="str">
        <f t="shared" si="124"/>
        <v xml:space="preserve">MI </v>
      </c>
      <c r="M699" s="7" t="str">
        <f t="shared" si="125"/>
        <v xml:space="preserve">MI </v>
      </c>
      <c r="N699" s="9">
        <f t="shared" si="126"/>
        <v>42.67</v>
      </c>
      <c r="O699" s="9">
        <f t="shared" si="127"/>
        <v>83.42</v>
      </c>
    </row>
    <row r="700" spans="1:15" x14ac:dyDescent="0.2">
      <c r="A700" s="1" t="s">
        <v>1423</v>
      </c>
      <c r="B700" s="2">
        <v>43.53</v>
      </c>
      <c r="C700" s="2">
        <v>84.08</v>
      </c>
      <c r="D700" s="2" t="s">
        <v>1424</v>
      </c>
      <c r="H700" s="2" t="s">
        <v>3292</v>
      </c>
      <c r="J700" s="7" t="str">
        <f t="shared" si="122"/>
        <v>Saginaw</v>
      </c>
      <c r="K700" s="7" t="str">
        <f t="shared" si="123"/>
        <v xml:space="preserve">MI  </v>
      </c>
      <c r="L700" s="7" t="str">
        <f t="shared" si="124"/>
        <v xml:space="preserve">MI </v>
      </c>
      <c r="M700" s="7" t="str">
        <f t="shared" si="125"/>
        <v xml:space="preserve">MI </v>
      </c>
      <c r="N700" s="9">
        <f t="shared" si="126"/>
        <v>43.53</v>
      </c>
      <c r="O700" s="9">
        <f t="shared" si="127"/>
        <v>84.08</v>
      </c>
    </row>
    <row r="701" spans="1:15" x14ac:dyDescent="0.2">
      <c r="A701" s="1" t="s">
        <v>1425</v>
      </c>
      <c r="B701" s="2">
        <v>46.47</v>
      </c>
      <c r="C701" s="2">
        <v>84.37</v>
      </c>
      <c r="D701" s="2" t="s">
        <v>1426</v>
      </c>
      <c r="E701" s="2" t="s">
        <v>1427</v>
      </c>
      <c r="F701" s="2" t="s">
        <v>1428</v>
      </c>
      <c r="H701" s="2" t="s">
        <v>3293</v>
      </c>
      <c r="J701" s="7" t="str">
        <f t="shared" si="122"/>
        <v>Sault Ste</v>
      </c>
      <c r="K701" s="7" t="str">
        <f t="shared" si="123"/>
        <v>M,MI</v>
      </c>
      <c r="L701" s="7" t="str">
        <f t="shared" si="124"/>
        <v>M,M</v>
      </c>
      <c r="M701" s="7" t="str">
        <f t="shared" si="125"/>
        <v>MM</v>
      </c>
      <c r="N701" s="9">
        <f t="shared" si="126"/>
        <v>46.47</v>
      </c>
      <c r="O701" s="9">
        <f t="shared" si="127"/>
        <v>84.37</v>
      </c>
    </row>
    <row r="702" spans="1:15" x14ac:dyDescent="0.2">
      <c r="A702" s="1" t="s">
        <v>1429</v>
      </c>
      <c r="B702" s="2">
        <v>46.35</v>
      </c>
      <c r="C702" s="2">
        <v>87.4</v>
      </c>
      <c r="D702" s="2" t="s">
        <v>1430</v>
      </c>
      <c r="E702" s="2" t="s">
        <v>1431</v>
      </c>
      <c r="H702" s="2" t="s">
        <v>3294</v>
      </c>
      <c r="J702" s="7" t="str">
        <f t="shared" si="122"/>
        <v>Sawyer AF</v>
      </c>
      <c r="K702" s="7" t="str">
        <f t="shared" si="123"/>
        <v xml:space="preserve">,MI </v>
      </c>
      <c r="L702" s="7" t="str">
        <f t="shared" si="124"/>
        <v>,MI</v>
      </c>
      <c r="M702" s="7" t="str">
        <f t="shared" si="125"/>
        <v>MI</v>
      </c>
      <c r="N702" s="9">
        <f t="shared" si="126"/>
        <v>46.35</v>
      </c>
      <c r="O702" s="9">
        <f t="shared" si="127"/>
        <v>87.4</v>
      </c>
    </row>
    <row r="703" spans="1:15" x14ac:dyDescent="0.2">
      <c r="A703" s="1" t="s">
        <v>1432</v>
      </c>
      <c r="B703" s="2">
        <v>42.62</v>
      </c>
      <c r="C703" s="2">
        <v>82.83</v>
      </c>
      <c r="D703" s="2" t="s">
        <v>1433</v>
      </c>
      <c r="H703" s="2" t="s">
        <v>3295</v>
      </c>
      <c r="J703" s="7" t="str">
        <f t="shared" si="122"/>
        <v>Selfridge</v>
      </c>
      <c r="K703" s="7" t="str">
        <f t="shared" si="123"/>
        <v xml:space="preserve">MI  </v>
      </c>
      <c r="L703" s="7" t="str">
        <f t="shared" si="124"/>
        <v xml:space="preserve">MI </v>
      </c>
      <c r="M703" s="7" t="str">
        <f t="shared" si="125"/>
        <v xml:space="preserve">MI </v>
      </c>
      <c r="N703" s="9">
        <f t="shared" si="126"/>
        <v>42.62</v>
      </c>
      <c r="O703" s="9">
        <f t="shared" si="127"/>
        <v>82.83</v>
      </c>
    </row>
    <row r="704" spans="1:15" x14ac:dyDescent="0.2">
      <c r="A704" s="1" t="s">
        <v>1434</v>
      </c>
      <c r="B704" s="2">
        <v>45.92</v>
      </c>
      <c r="C704" s="2">
        <v>85.92</v>
      </c>
      <c r="D704" s="2" t="s">
        <v>1435</v>
      </c>
      <c r="E704" s="2" t="s">
        <v>1436</v>
      </c>
      <c r="H704" s="2" t="s">
        <v>3296</v>
      </c>
      <c r="J704" s="7" t="str">
        <f t="shared" si="122"/>
        <v>Seul Choi</v>
      </c>
      <c r="K704" s="7" t="str">
        <f t="shared" si="123"/>
        <v xml:space="preserve">,MI </v>
      </c>
      <c r="L704" s="7" t="str">
        <f t="shared" si="124"/>
        <v>,MI</v>
      </c>
      <c r="M704" s="7" t="str">
        <f t="shared" si="125"/>
        <v>MI</v>
      </c>
      <c r="N704" s="9">
        <f t="shared" si="126"/>
        <v>45.92</v>
      </c>
      <c r="O704" s="9">
        <f t="shared" si="127"/>
        <v>85.92</v>
      </c>
    </row>
    <row r="705" spans="1:15" x14ac:dyDescent="0.2">
      <c r="A705" s="1" t="s">
        <v>1437</v>
      </c>
      <c r="B705" s="2">
        <v>44.73</v>
      </c>
      <c r="C705" s="2">
        <v>85.58</v>
      </c>
      <c r="D705" s="2" t="s">
        <v>1438</v>
      </c>
      <c r="E705" s="2" t="s">
        <v>1439</v>
      </c>
      <c r="H705" s="2" t="s">
        <v>3297</v>
      </c>
      <c r="J705" s="7" t="str">
        <f t="shared" si="122"/>
        <v>Traverse Ct</v>
      </c>
      <c r="K705" s="7" t="str">
        <f t="shared" si="123"/>
        <v xml:space="preserve">,MI </v>
      </c>
      <c r="L705" s="7" t="str">
        <f t="shared" si="124"/>
        <v>,MI</v>
      </c>
      <c r="M705" s="7" t="str">
        <f t="shared" si="125"/>
        <v>MI</v>
      </c>
      <c r="N705" s="9">
        <f t="shared" si="126"/>
        <v>44.73</v>
      </c>
      <c r="O705" s="9">
        <f t="shared" si="127"/>
        <v>85.58</v>
      </c>
    </row>
    <row r="706" spans="1:15" x14ac:dyDescent="0.2">
      <c r="A706" s="1" t="s">
        <v>1440</v>
      </c>
      <c r="B706" s="2">
        <v>44.45</v>
      </c>
      <c r="C706" s="2">
        <v>83.4</v>
      </c>
      <c r="D706" s="2" t="s">
        <v>1441</v>
      </c>
      <c r="H706" s="2" t="s">
        <v>3298</v>
      </c>
      <c r="J706" s="7" t="str">
        <f t="shared" si="122"/>
        <v>Wurtsmith</v>
      </c>
      <c r="K706" s="7" t="str">
        <f t="shared" si="123"/>
        <v xml:space="preserve">MI  </v>
      </c>
      <c r="L706" s="7" t="str">
        <f t="shared" si="124"/>
        <v xml:space="preserve">MI </v>
      </c>
      <c r="M706" s="7" t="str">
        <f t="shared" si="125"/>
        <v xml:space="preserve">MI </v>
      </c>
      <c r="N706" s="9">
        <f t="shared" si="126"/>
        <v>44.45</v>
      </c>
      <c r="O706" s="9">
        <f t="shared" si="127"/>
        <v>83.4</v>
      </c>
    </row>
    <row r="707" spans="1:15" x14ac:dyDescent="0.2">
      <c r="A707" s="1" t="s">
        <v>1442</v>
      </c>
      <c r="B707" s="2">
        <v>42.23</v>
      </c>
      <c r="C707" s="2">
        <v>83.53</v>
      </c>
      <c r="D707" s="2" t="s">
        <v>1443</v>
      </c>
      <c r="H707" s="2" t="s">
        <v>3299</v>
      </c>
      <c r="J707" s="7" t="str">
        <f t="shared" si="122"/>
        <v>Ypsilanti</v>
      </c>
      <c r="K707" s="7" t="str">
        <f t="shared" si="123"/>
        <v xml:space="preserve">MI  </v>
      </c>
      <c r="L707" s="7" t="str">
        <f t="shared" si="124"/>
        <v xml:space="preserve">MI </v>
      </c>
      <c r="M707" s="7" t="str">
        <f t="shared" si="125"/>
        <v xml:space="preserve">MI </v>
      </c>
      <c r="N707" s="9">
        <f t="shared" si="126"/>
        <v>42.23</v>
      </c>
      <c r="O707" s="9">
        <f t="shared" si="127"/>
        <v>83.53</v>
      </c>
    </row>
    <row r="708" spans="1:15" x14ac:dyDescent="0.2">
      <c r="A708" s="4"/>
      <c r="H708" s="2" t="s">
        <v>2726</v>
      </c>
      <c r="J708" s="7"/>
      <c r="K708" s="7"/>
      <c r="L708" s="7"/>
      <c r="M708" s="7"/>
      <c r="N708" s="9"/>
      <c r="O708" s="9"/>
    </row>
    <row r="709" spans="1:15" x14ac:dyDescent="0.2">
      <c r="A709" s="1" t="s">
        <v>22</v>
      </c>
      <c r="H709" s="2" t="s">
        <v>2726</v>
      </c>
      <c r="J709" s="7"/>
      <c r="K709" s="7"/>
      <c r="L709" s="7"/>
      <c r="M709" s="7"/>
      <c r="N709" s="9"/>
      <c r="O709" s="9"/>
    </row>
    <row r="710" spans="1:15" x14ac:dyDescent="0.2">
      <c r="A710" s="4"/>
      <c r="H710" s="2" t="s">
        <v>2726</v>
      </c>
      <c r="J710" s="7"/>
      <c r="K710" s="7"/>
      <c r="L710" s="7"/>
      <c r="M710" s="7"/>
      <c r="N710" s="9"/>
      <c r="O710" s="9"/>
    </row>
    <row r="711" spans="1:15" x14ac:dyDescent="0.2">
      <c r="A711" s="1" t="s">
        <v>1444</v>
      </c>
      <c r="B711" s="2">
        <v>43.68</v>
      </c>
      <c r="C711" s="2">
        <v>93.37</v>
      </c>
      <c r="D711" s="2" t="s">
        <v>1445</v>
      </c>
      <c r="E711" s="2" t="s">
        <v>1446</v>
      </c>
      <c r="H711" s="2" t="s">
        <v>3300</v>
      </c>
      <c r="J711" s="7" t="str">
        <f t="shared" si="122"/>
        <v>Albert Le</v>
      </c>
      <c r="K711" s="7" t="str">
        <f t="shared" si="123"/>
        <v xml:space="preserve">,MN </v>
      </c>
      <c r="L711" s="7" t="str">
        <f t="shared" ref="L711:L738" si="128">LEFT(K711,LEN(K711)-1)</f>
        <v>,MN</v>
      </c>
      <c r="M711" s="7" t="str">
        <f t="shared" ref="M711:M738" si="129">SUBSTITUTE(L711,",","")</f>
        <v>MN</v>
      </c>
      <c r="N711" s="9">
        <f t="shared" ref="N711:N738" si="130">B711</f>
        <v>43.68</v>
      </c>
      <c r="O711" s="9">
        <f t="shared" ref="O711:O738" si="131">C711</f>
        <v>93.37</v>
      </c>
    </row>
    <row r="712" spans="1:15" x14ac:dyDescent="0.2">
      <c r="A712" s="1" t="s">
        <v>1447</v>
      </c>
      <c r="B712" s="2">
        <v>45.87</v>
      </c>
      <c r="C712" s="2">
        <v>95.38</v>
      </c>
      <c r="D712" s="2" t="s">
        <v>1448</v>
      </c>
      <c r="H712" s="2" t="s">
        <v>3301</v>
      </c>
      <c r="J712" s="7" t="str">
        <f t="shared" si="122"/>
        <v>Alexandria</v>
      </c>
      <c r="K712" s="7" t="str">
        <f t="shared" si="123"/>
        <v xml:space="preserve">MN  </v>
      </c>
      <c r="L712" s="7" t="str">
        <f t="shared" si="128"/>
        <v xml:space="preserve">MN </v>
      </c>
      <c r="M712" s="7" t="str">
        <f t="shared" si="129"/>
        <v xml:space="preserve">MN </v>
      </c>
      <c r="N712" s="9">
        <f t="shared" si="130"/>
        <v>45.87</v>
      </c>
      <c r="O712" s="9">
        <f t="shared" si="131"/>
        <v>95.38</v>
      </c>
    </row>
    <row r="713" spans="1:15" x14ac:dyDescent="0.2">
      <c r="A713" s="1" t="s">
        <v>1449</v>
      </c>
      <c r="B713" s="2">
        <v>47.5</v>
      </c>
      <c r="C713" s="2">
        <v>94.93</v>
      </c>
      <c r="D713" s="2" t="s">
        <v>1450</v>
      </c>
      <c r="E713" s="2" t="s">
        <v>1451</v>
      </c>
      <c r="H713" s="2" t="s">
        <v>3302</v>
      </c>
      <c r="J713" s="7" t="str">
        <f t="shared" si="122"/>
        <v>Bemidji Mun</v>
      </c>
      <c r="K713" s="7" t="str">
        <f t="shared" si="123"/>
        <v xml:space="preserve">,MN </v>
      </c>
      <c r="L713" s="7" t="str">
        <f t="shared" si="128"/>
        <v>,MN</v>
      </c>
      <c r="M713" s="7" t="str">
        <f t="shared" si="129"/>
        <v>MN</v>
      </c>
      <c r="N713" s="9">
        <f t="shared" si="130"/>
        <v>47.5</v>
      </c>
      <c r="O713" s="9">
        <f t="shared" si="131"/>
        <v>94.93</v>
      </c>
    </row>
    <row r="714" spans="1:15" x14ac:dyDescent="0.2">
      <c r="A714" s="1" t="s">
        <v>1452</v>
      </c>
      <c r="B714" s="2">
        <v>46.4</v>
      </c>
      <c r="C714" s="2">
        <v>94.13</v>
      </c>
      <c r="D714" s="2" t="s">
        <v>1453</v>
      </c>
      <c r="H714" s="2" t="s">
        <v>3303</v>
      </c>
      <c r="J714" s="7" t="str">
        <f t="shared" si="122"/>
        <v>Brainerd-Crw</v>
      </c>
      <c r="K714" s="7" t="str">
        <f t="shared" si="123"/>
        <v xml:space="preserve">MN  </v>
      </c>
      <c r="L714" s="7" t="str">
        <f t="shared" si="128"/>
        <v xml:space="preserve">MN </v>
      </c>
      <c r="M714" s="7" t="str">
        <f t="shared" si="129"/>
        <v xml:space="preserve">MN </v>
      </c>
      <c r="N714" s="9">
        <f t="shared" si="130"/>
        <v>46.4</v>
      </c>
      <c r="O714" s="9">
        <f t="shared" si="131"/>
        <v>94.13</v>
      </c>
    </row>
    <row r="715" spans="1:15" x14ac:dyDescent="0.2">
      <c r="A715" s="1" t="s">
        <v>1454</v>
      </c>
      <c r="B715" s="2">
        <v>46.82</v>
      </c>
      <c r="C715" s="2">
        <v>95.88</v>
      </c>
      <c r="D715" s="2" t="s">
        <v>1455</v>
      </c>
      <c r="E715" s="2" t="s">
        <v>1456</v>
      </c>
      <c r="H715" s="2" t="s">
        <v>3304</v>
      </c>
      <c r="J715" s="7" t="str">
        <f t="shared" si="122"/>
        <v>Detroit Lak</v>
      </c>
      <c r="K715" s="7" t="str">
        <f t="shared" si="123"/>
        <v xml:space="preserve">,MN </v>
      </c>
      <c r="L715" s="7" t="str">
        <f t="shared" si="128"/>
        <v>,MN</v>
      </c>
      <c r="M715" s="7" t="str">
        <f t="shared" si="129"/>
        <v>MN</v>
      </c>
      <c r="N715" s="9">
        <f t="shared" si="130"/>
        <v>46.82</v>
      </c>
      <c r="O715" s="9">
        <f t="shared" si="131"/>
        <v>95.88</v>
      </c>
    </row>
    <row r="716" spans="1:15" x14ac:dyDescent="0.2">
      <c r="A716" s="1" t="s">
        <v>1457</v>
      </c>
      <c r="B716" s="2">
        <v>46.83</v>
      </c>
      <c r="C716" s="2">
        <v>92.18</v>
      </c>
      <c r="D716" s="2" t="s">
        <v>1458</v>
      </c>
      <c r="H716" s="2" t="s">
        <v>3305</v>
      </c>
      <c r="J716" s="7" t="str">
        <f t="shared" si="122"/>
        <v>Duluth</v>
      </c>
      <c r="K716" s="7" t="str">
        <f t="shared" si="123"/>
        <v xml:space="preserve">MN  </v>
      </c>
      <c r="L716" s="7" t="str">
        <f t="shared" si="128"/>
        <v xml:space="preserve">MN </v>
      </c>
      <c r="M716" s="7" t="str">
        <f t="shared" si="129"/>
        <v xml:space="preserve">MN </v>
      </c>
      <c r="N716" s="9">
        <f t="shared" si="130"/>
        <v>46.83</v>
      </c>
      <c r="O716" s="9">
        <f t="shared" si="131"/>
        <v>92.18</v>
      </c>
    </row>
    <row r="717" spans="1:15" x14ac:dyDescent="0.2">
      <c r="A717" s="1" t="s">
        <v>1459</v>
      </c>
      <c r="B717" s="2">
        <v>47.9</v>
      </c>
      <c r="C717" s="2">
        <v>91.82</v>
      </c>
      <c r="D717" s="2" t="s">
        <v>1460</v>
      </c>
      <c r="H717" s="2" t="s">
        <v>3306</v>
      </c>
      <c r="J717" s="7" t="str">
        <f t="shared" si="122"/>
        <v>Ely</v>
      </c>
      <c r="K717" s="7" t="str">
        <f t="shared" si="123"/>
        <v xml:space="preserve">MN  </v>
      </c>
      <c r="L717" s="7" t="str">
        <f t="shared" si="128"/>
        <v xml:space="preserve">MN </v>
      </c>
      <c r="M717" s="7" t="str">
        <f t="shared" si="129"/>
        <v xml:space="preserve">MN </v>
      </c>
      <c r="N717" s="9">
        <f t="shared" si="130"/>
        <v>47.9</v>
      </c>
      <c r="O717" s="9">
        <f t="shared" si="131"/>
        <v>91.82</v>
      </c>
    </row>
    <row r="718" spans="1:15" x14ac:dyDescent="0.2">
      <c r="A718" s="1" t="s">
        <v>1461</v>
      </c>
      <c r="B718" s="2">
        <v>43.65</v>
      </c>
      <c r="C718" s="2">
        <v>94.42</v>
      </c>
      <c r="D718" s="2" t="s">
        <v>1462</v>
      </c>
      <c r="H718" s="2" t="s">
        <v>3307</v>
      </c>
      <c r="J718" s="7" t="str">
        <f t="shared" si="122"/>
        <v>Fairmont</v>
      </c>
      <c r="K718" s="7" t="str">
        <f t="shared" si="123"/>
        <v xml:space="preserve">MN  </v>
      </c>
      <c r="L718" s="7" t="str">
        <f t="shared" si="128"/>
        <v xml:space="preserve">MN </v>
      </c>
      <c r="M718" s="7" t="str">
        <f t="shared" si="129"/>
        <v xml:space="preserve">MN </v>
      </c>
      <c r="N718" s="9">
        <f t="shared" si="130"/>
        <v>43.65</v>
      </c>
      <c r="O718" s="9">
        <f t="shared" si="131"/>
        <v>94.42</v>
      </c>
    </row>
    <row r="719" spans="1:15" x14ac:dyDescent="0.2">
      <c r="A719" s="1" t="s">
        <v>1463</v>
      </c>
      <c r="B719" s="2">
        <v>46.3</v>
      </c>
      <c r="C719" s="2">
        <v>96.07</v>
      </c>
      <c r="D719" s="2" t="s">
        <v>1464</v>
      </c>
      <c r="E719" s="2" t="s">
        <v>1465</v>
      </c>
      <c r="H719" s="2" t="s">
        <v>3308</v>
      </c>
      <c r="J719" s="7" t="str">
        <f t="shared" si="122"/>
        <v>Fergus Fall</v>
      </c>
      <c r="K719" s="7" t="str">
        <f t="shared" si="123"/>
        <v xml:space="preserve">,MN </v>
      </c>
      <c r="L719" s="7" t="str">
        <f t="shared" si="128"/>
        <v>,MN</v>
      </c>
      <c r="M719" s="7" t="str">
        <f t="shared" si="129"/>
        <v>MN</v>
      </c>
      <c r="N719" s="9">
        <f t="shared" si="130"/>
        <v>46.3</v>
      </c>
      <c r="O719" s="9">
        <f t="shared" si="131"/>
        <v>96.07</v>
      </c>
    </row>
    <row r="720" spans="1:15" x14ac:dyDescent="0.2">
      <c r="A720" s="1" t="s">
        <v>1466</v>
      </c>
      <c r="B720" s="2">
        <v>47.22</v>
      </c>
      <c r="C720" s="2">
        <v>93.52</v>
      </c>
      <c r="D720" s="2" t="s">
        <v>354</v>
      </c>
      <c r="E720" s="2" t="s">
        <v>1467</v>
      </c>
      <c r="H720" s="2" t="s">
        <v>3309</v>
      </c>
      <c r="J720" s="7" t="str">
        <f t="shared" si="122"/>
        <v>Grand Rapid</v>
      </c>
      <c r="K720" s="7" t="str">
        <f t="shared" si="123"/>
        <v xml:space="preserve">,MN </v>
      </c>
      <c r="L720" s="7" t="str">
        <f t="shared" si="128"/>
        <v>,MN</v>
      </c>
      <c r="M720" s="7" t="str">
        <f t="shared" si="129"/>
        <v>MN</v>
      </c>
      <c r="N720" s="9">
        <f t="shared" si="130"/>
        <v>47.22</v>
      </c>
      <c r="O720" s="9">
        <f t="shared" si="131"/>
        <v>93.52</v>
      </c>
    </row>
    <row r="721" spans="1:15" x14ac:dyDescent="0.2">
      <c r="A721" s="1" t="s">
        <v>1468</v>
      </c>
      <c r="B721" s="2">
        <v>47.38</v>
      </c>
      <c r="C721" s="2">
        <v>92.85</v>
      </c>
      <c r="D721" s="2" t="s">
        <v>1469</v>
      </c>
      <c r="H721" s="2" t="s">
        <v>3310</v>
      </c>
      <c r="J721" s="7" t="str">
        <f t="shared" si="122"/>
        <v>Hibbing</v>
      </c>
      <c r="K721" s="7" t="str">
        <f t="shared" si="123"/>
        <v xml:space="preserve">MN  </v>
      </c>
      <c r="L721" s="7" t="str">
        <f t="shared" si="128"/>
        <v xml:space="preserve">MN </v>
      </c>
      <c r="M721" s="7" t="str">
        <f t="shared" si="129"/>
        <v xml:space="preserve">MN </v>
      </c>
      <c r="N721" s="9">
        <f t="shared" si="130"/>
        <v>47.38</v>
      </c>
      <c r="O721" s="9">
        <f t="shared" si="131"/>
        <v>92.85</v>
      </c>
    </row>
    <row r="722" spans="1:15" x14ac:dyDescent="0.2">
      <c r="A722" s="1" t="s">
        <v>1470</v>
      </c>
      <c r="B722" s="2">
        <v>48.57</v>
      </c>
      <c r="C722" s="2">
        <v>93.38</v>
      </c>
      <c r="D722" s="2" t="s">
        <v>1471</v>
      </c>
      <c r="E722" s="2" t="s">
        <v>1465</v>
      </c>
      <c r="H722" s="2" t="s">
        <v>3311</v>
      </c>
      <c r="J722" s="7" t="str">
        <f t="shared" si="122"/>
        <v>Intl Fall</v>
      </c>
      <c r="K722" s="7" t="str">
        <f t="shared" si="123"/>
        <v xml:space="preserve">,MN </v>
      </c>
      <c r="L722" s="7" t="str">
        <f t="shared" si="128"/>
        <v>,MN</v>
      </c>
      <c r="M722" s="7" t="str">
        <f t="shared" si="129"/>
        <v>MN</v>
      </c>
      <c r="N722" s="9">
        <f t="shared" si="130"/>
        <v>48.57</v>
      </c>
      <c r="O722" s="9">
        <f t="shared" si="131"/>
        <v>93.38</v>
      </c>
    </row>
    <row r="723" spans="1:15" x14ac:dyDescent="0.2">
      <c r="A723" s="1" t="s">
        <v>1472</v>
      </c>
      <c r="B723" s="2">
        <v>45.13</v>
      </c>
      <c r="C723" s="2">
        <v>94.52</v>
      </c>
      <c r="D723" s="2" t="s">
        <v>1473</v>
      </c>
      <c r="H723" s="2" t="s">
        <v>3312</v>
      </c>
      <c r="J723" s="7" t="str">
        <f t="shared" si="122"/>
        <v>Litchfield</v>
      </c>
      <c r="K723" s="7" t="str">
        <f t="shared" si="123"/>
        <v xml:space="preserve">MN  </v>
      </c>
      <c r="L723" s="7" t="str">
        <f t="shared" si="128"/>
        <v xml:space="preserve">MN </v>
      </c>
      <c r="M723" s="7" t="str">
        <f t="shared" si="129"/>
        <v xml:space="preserve">MN </v>
      </c>
      <c r="N723" s="9">
        <f t="shared" si="130"/>
        <v>45.13</v>
      </c>
      <c r="O723" s="9">
        <f t="shared" si="131"/>
        <v>94.52</v>
      </c>
    </row>
    <row r="724" spans="1:15" x14ac:dyDescent="0.2">
      <c r="A724" s="1" t="s">
        <v>1474</v>
      </c>
      <c r="B724" s="2">
        <v>44.22</v>
      </c>
      <c r="C724" s="2">
        <v>93.92</v>
      </c>
      <c r="D724" s="2" t="s">
        <v>1475</v>
      </c>
      <c r="H724" s="2" t="s">
        <v>3313</v>
      </c>
      <c r="J724" s="7" t="str">
        <f t="shared" si="122"/>
        <v>Mankato</v>
      </c>
      <c r="K724" s="7" t="str">
        <f t="shared" si="123"/>
        <v xml:space="preserve">MN  </v>
      </c>
      <c r="L724" s="7" t="str">
        <f t="shared" si="128"/>
        <v xml:space="preserve">MN </v>
      </c>
      <c r="M724" s="7" t="str">
        <f t="shared" si="129"/>
        <v xml:space="preserve">MN </v>
      </c>
      <c r="N724" s="9">
        <f t="shared" si="130"/>
        <v>44.22</v>
      </c>
      <c r="O724" s="9">
        <f t="shared" si="131"/>
        <v>93.92</v>
      </c>
    </row>
    <row r="725" spans="1:15" x14ac:dyDescent="0.2">
      <c r="A725" s="1" t="s">
        <v>1476</v>
      </c>
      <c r="B725" s="2">
        <v>44.45</v>
      </c>
      <c r="C725" s="2">
        <v>95.82</v>
      </c>
      <c r="D725" s="2" t="s">
        <v>1477</v>
      </c>
      <c r="E725" s="2" t="s">
        <v>1478</v>
      </c>
      <c r="H725" s="2" t="s">
        <v>3314</v>
      </c>
      <c r="J725" s="7" t="str">
        <f t="shared" si="122"/>
        <v>Marshall Arp</v>
      </c>
      <c r="K725" s="7" t="str">
        <f t="shared" si="123"/>
        <v xml:space="preserve">,MN </v>
      </c>
      <c r="L725" s="7" t="str">
        <f t="shared" si="128"/>
        <v>,MN</v>
      </c>
      <c r="M725" s="7" t="str">
        <f t="shared" si="129"/>
        <v>MN</v>
      </c>
      <c r="N725" s="9">
        <f t="shared" si="130"/>
        <v>44.45</v>
      </c>
      <c r="O725" s="9">
        <f t="shared" si="131"/>
        <v>95.82</v>
      </c>
    </row>
    <row r="726" spans="1:15" x14ac:dyDescent="0.2">
      <c r="A726" s="1" t="s">
        <v>1479</v>
      </c>
      <c r="B726" s="2">
        <v>44.83</v>
      </c>
      <c r="C726" s="2">
        <v>93.47</v>
      </c>
      <c r="D726" s="2" t="s">
        <v>1480</v>
      </c>
      <c r="H726" s="2" t="s">
        <v>3315</v>
      </c>
      <c r="J726" s="7" t="str">
        <f t="shared" ref="J726:J789" si="132">LEFT(H726,LEN(H726)-5)</f>
        <v>Minneapolis</v>
      </c>
      <c r="K726" s="7" t="str">
        <f t="shared" ref="K726:K789" si="133">RIGHT(H726,4)</f>
        <v xml:space="preserve">MN  </v>
      </c>
      <c r="L726" s="7" t="str">
        <f t="shared" si="128"/>
        <v xml:space="preserve">MN </v>
      </c>
      <c r="M726" s="7" t="str">
        <f t="shared" si="129"/>
        <v xml:space="preserve">MN </v>
      </c>
      <c r="N726" s="9">
        <f t="shared" si="130"/>
        <v>44.83</v>
      </c>
      <c r="O726" s="9">
        <f t="shared" si="131"/>
        <v>93.47</v>
      </c>
    </row>
    <row r="727" spans="1:15" x14ac:dyDescent="0.2">
      <c r="A727" s="1" t="s">
        <v>1481</v>
      </c>
      <c r="B727" s="2">
        <v>45.07</v>
      </c>
      <c r="C727" s="2">
        <v>93.38</v>
      </c>
      <c r="D727" s="2" t="s">
        <v>1480</v>
      </c>
      <c r="H727" s="2" t="s">
        <v>3315</v>
      </c>
      <c r="J727" s="7" t="str">
        <f t="shared" si="132"/>
        <v>Minneapolis</v>
      </c>
      <c r="K727" s="7" t="str">
        <f t="shared" si="133"/>
        <v xml:space="preserve">MN  </v>
      </c>
      <c r="L727" s="7" t="str">
        <f t="shared" si="128"/>
        <v xml:space="preserve">MN </v>
      </c>
      <c r="M727" s="7" t="str">
        <f t="shared" si="129"/>
        <v xml:space="preserve">MN </v>
      </c>
      <c r="N727" s="9">
        <f t="shared" si="130"/>
        <v>45.07</v>
      </c>
      <c r="O727" s="9">
        <f t="shared" si="131"/>
        <v>93.38</v>
      </c>
    </row>
    <row r="728" spans="1:15" x14ac:dyDescent="0.2">
      <c r="A728" s="1" t="s">
        <v>1482</v>
      </c>
      <c r="B728" s="2">
        <v>44.88</v>
      </c>
      <c r="C728" s="2">
        <v>93.22</v>
      </c>
      <c r="D728" s="2" t="s">
        <v>1480</v>
      </c>
      <c r="H728" s="2" t="s">
        <v>3315</v>
      </c>
      <c r="J728" s="7" t="str">
        <f t="shared" si="132"/>
        <v>Minneapolis</v>
      </c>
      <c r="K728" s="7" t="str">
        <f t="shared" si="133"/>
        <v xml:space="preserve">MN  </v>
      </c>
      <c r="L728" s="7" t="str">
        <f t="shared" si="128"/>
        <v xml:space="preserve">MN </v>
      </c>
      <c r="M728" s="7" t="str">
        <f t="shared" si="129"/>
        <v xml:space="preserve">MN </v>
      </c>
      <c r="N728" s="9">
        <f t="shared" si="130"/>
        <v>44.88</v>
      </c>
      <c r="O728" s="9">
        <f t="shared" si="131"/>
        <v>93.22</v>
      </c>
    </row>
    <row r="729" spans="1:15" x14ac:dyDescent="0.2">
      <c r="A729" s="1" t="s">
        <v>1483</v>
      </c>
      <c r="B729" s="2">
        <v>46.9</v>
      </c>
      <c r="C729" s="2">
        <v>95.07</v>
      </c>
      <c r="D729" s="2" t="s">
        <v>783</v>
      </c>
      <c r="E729" s="2" t="s">
        <v>1467</v>
      </c>
      <c r="H729" s="2" t="s">
        <v>3316</v>
      </c>
      <c r="J729" s="7" t="str">
        <f t="shared" si="132"/>
        <v>Park Rapid</v>
      </c>
      <c r="K729" s="7" t="str">
        <f t="shared" si="133"/>
        <v xml:space="preserve">,MN </v>
      </c>
      <c r="L729" s="7" t="str">
        <f t="shared" si="128"/>
        <v>,MN</v>
      </c>
      <c r="M729" s="7" t="str">
        <f t="shared" si="129"/>
        <v>MN</v>
      </c>
      <c r="N729" s="9">
        <f t="shared" si="130"/>
        <v>46.9</v>
      </c>
      <c r="O729" s="9">
        <f t="shared" si="131"/>
        <v>95.07</v>
      </c>
    </row>
    <row r="730" spans="1:15" x14ac:dyDescent="0.2">
      <c r="A730" s="1" t="s">
        <v>1484</v>
      </c>
      <c r="B730" s="2">
        <v>46.6</v>
      </c>
      <c r="C730" s="2">
        <v>94.32</v>
      </c>
      <c r="D730" s="2" t="s">
        <v>1485</v>
      </c>
      <c r="E730" s="2" t="s">
        <v>1486</v>
      </c>
      <c r="H730" s="2" t="s">
        <v>3317</v>
      </c>
      <c r="J730" s="7" t="str">
        <f t="shared" si="132"/>
        <v>Pequot Lak</v>
      </c>
      <c r="K730" s="7" t="str">
        <f t="shared" si="133"/>
        <v xml:space="preserve">,MN </v>
      </c>
      <c r="L730" s="7" t="str">
        <f t="shared" si="128"/>
        <v>,MN</v>
      </c>
      <c r="M730" s="7" t="str">
        <f t="shared" si="129"/>
        <v>MN</v>
      </c>
      <c r="N730" s="9">
        <f t="shared" si="130"/>
        <v>46.6</v>
      </c>
      <c r="O730" s="9">
        <f t="shared" si="131"/>
        <v>94.32</v>
      </c>
    </row>
    <row r="731" spans="1:15" x14ac:dyDescent="0.2">
      <c r="A731" s="1" t="s">
        <v>1487</v>
      </c>
      <c r="B731" s="2">
        <v>44.55</v>
      </c>
      <c r="C731" s="2">
        <v>95.08</v>
      </c>
      <c r="D731" s="2" t="s">
        <v>1488</v>
      </c>
      <c r="E731" s="2" t="s">
        <v>1465</v>
      </c>
      <c r="H731" s="2" t="s">
        <v>3318</v>
      </c>
      <c r="J731" s="7" t="str">
        <f t="shared" si="132"/>
        <v>Redwood Fall</v>
      </c>
      <c r="K731" s="7" t="str">
        <f t="shared" si="133"/>
        <v xml:space="preserve">,MN </v>
      </c>
      <c r="L731" s="7" t="str">
        <f t="shared" si="128"/>
        <v>,MN</v>
      </c>
      <c r="M731" s="7" t="str">
        <f t="shared" si="129"/>
        <v>MN</v>
      </c>
      <c r="N731" s="9">
        <f t="shared" si="130"/>
        <v>44.55</v>
      </c>
      <c r="O731" s="9">
        <f t="shared" si="131"/>
        <v>95.08</v>
      </c>
    </row>
    <row r="732" spans="1:15" x14ac:dyDescent="0.2">
      <c r="A732" s="1" t="s">
        <v>1489</v>
      </c>
      <c r="B732" s="2">
        <v>43.92</v>
      </c>
      <c r="C732" s="2">
        <v>92.5</v>
      </c>
      <c r="D732" s="2" t="s">
        <v>1490</v>
      </c>
      <c r="H732" s="2" t="s">
        <v>3319</v>
      </c>
      <c r="J732" s="7" t="str">
        <f t="shared" si="132"/>
        <v>Rochester</v>
      </c>
      <c r="K732" s="7" t="str">
        <f t="shared" si="133"/>
        <v xml:space="preserve">MN  </v>
      </c>
      <c r="L732" s="7" t="str">
        <f t="shared" si="128"/>
        <v xml:space="preserve">MN </v>
      </c>
      <c r="M732" s="7" t="str">
        <f t="shared" si="129"/>
        <v xml:space="preserve">MN </v>
      </c>
      <c r="N732" s="9">
        <f t="shared" si="130"/>
        <v>43.92</v>
      </c>
      <c r="O732" s="9">
        <f t="shared" si="131"/>
        <v>92.5</v>
      </c>
    </row>
    <row r="733" spans="1:15" x14ac:dyDescent="0.2">
      <c r="A733" s="1" t="s">
        <v>1491</v>
      </c>
      <c r="B733" s="2">
        <v>44.93</v>
      </c>
      <c r="C733" s="2">
        <v>93.05</v>
      </c>
      <c r="D733" s="2" t="s">
        <v>862</v>
      </c>
      <c r="E733" s="2" t="s">
        <v>1492</v>
      </c>
      <c r="H733" s="2" t="s">
        <v>3320</v>
      </c>
      <c r="J733" s="7" t="str">
        <f t="shared" si="132"/>
        <v>Saint Pau</v>
      </c>
      <c r="K733" s="7" t="str">
        <f t="shared" si="133"/>
        <v xml:space="preserve">,MN </v>
      </c>
      <c r="L733" s="7" t="str">
        <f t="shared" si="128"/>
        <v>,MN</v>
      </c>
      <c r="M733" s="7" t="str">
        <f t="shared" si="129"/>
        <v>MN</v>
      </c>
      <c r="N733" s="9">
        <f t="shared" si="130"/>
        <v>44.93</v>
      </c>
      <c r="O733" s="9">
        <f t="shared" si="131"/>
        <v>93.05</v>
      </c>
    </row>
    <row r="734" spans="1:15" x14ac:dyDescent="0.2">
      <c r="A734" s="1" t="s">
        <v>1493</v>
      </c>
      <c r="B734" s="2">
        <v>45.55</v>
      </c>
      <c r="C734" s="2">
        <v>94.07</v>
      </c>
      <c r="D734" s="2" t="s">
        <v>138</v>
      </c>
      <c r="E734" s="2" t="s">
        <v>1494</v>
      </c>
      <c r="H734" s="2" t="s">
        <v>3321</v>
      </c>
      <c r="J734" s="7" t="str">
        <f t="shared" si="132"/>
        <v>St Clou</v>
      </c>
      <c r="K734" s="7" t="str">
        <f t="shared" si="133"/>
        <v xml:space="preserve">,MN </v>
      </c>
      <c r="L734" s="7" t="str">
        <f t="shared" si="128"/>
        <v>,MN</v>
      </c>
      <c r="M734" s="7" t="str">
        <f t="shared" si="129"/>
        <v>MN</v>
      </c>
      <c r="N734" s="9">
        <f t="shared" si="130"/>
        <v>45.55</v>
      </c>
      <c r="O734" s="9">
        <f t="shared" si="131"/>
        <v>94.07</v>
      </c>
    </row>
    <row r="735" spans="1:15" x14ac:dyDescent="0.2">
      <c r="A735" s="1" t="s">
        <v>1495</v>
      </c>
      <c r="B735" s="2">
        <v>48.07</v>
      </c>
      <c r="C735" s="2">
        <v>96.18</v>
      </c>
      <c r="D735" s="2" t="s">
        <v>1496</v>
      </c>
      <c r="E735" s="2" t="s">
        <v>1497</v>
      </c>
      <c r="H735" s="2" t="s">
        <v>3322</v>
      </c>
      <c r="J735" s="7" t="str">
        <f t="shared" si="132"/>
        <v>Thief Rive</v>
      </c>
      <c r="K735" s="7" t="str">
        <f t="shared" si="133"/>
        <v xml:space="preserve">,MN </v>
      </c>
      <c r="L735" s="7" t="str">
        <f t="shared" si="128"/>
        <v>,MN</v>
      </c>
      <c r="M735" s="7" t="str">
        <f t="shared" si="129"/>
        <v>MN</v>
      </c>
      <c r="N735" s="9">
        <f t="shared" si="130"/>
        <v>48.07</v>
      </c>
      <c r="O735" s="9">
        <f t="shared" si="131"/>
        <v>96.18</v>
      </c>
    </row>
    <row r="736" spans="1:15" x14ac:dyDescent="0.2">
      <c r="A736" s="1" t="s">
        <v>1498</v>
      </c>
      <c r="B736" s="2">
        <v>47.58</v>
      </c>
      <c r="C736" s="2">
        <v>90.83</v>
      </c>
      <c r="D736" s="2" t="s">
        <v>1499</v>
      </c>
      <c r="H736" s="2" t="s">
        <v>3323</v>
      </c>
      <c r="J736" s="7" t="str">
        <f t="shared" si="132"/>
        <v>Tofte</v>
      </c>
      <c r="K736" s="7" t="str">
        <f t="shared" si="133"/>
        <v xml:space="preserve">MN  </v>
      </c>
      <c r="L736" s="7" t="str">
        <f t="shared" si="128"/>
        <v xml:space="preserve">MN </v>
      </c>
      <c r="M736" s="7" t="str">
        <f t="shared" si="129"/>
        <v xml:space="preserve">MN </v>
      </c>
      <c r="N736" s="9">
        <f t="shared" si="130"/>
        <v>47.58</v>
      </c>
      <c r="O736" s="9">
        <f t="shared" si="131"/>
        <v>90.83</v>
      </c>
    </row>
    <row r="737" spans="1:15" x14ac:dyDescent="0.2">
      <c r="A737" s="1" t="s">
        <v>1500</v>
      </c>
      <c r="B737" s="2">
        <v>48.93</v>
      </c>
      <c r="C737" s="2">
        <v>95.35</v>
      </c>
      <c r="D737" s="2" t="s">
        <v>1501</v>
      </c>
      <c r="H737" s="2" t="s">
        <v>3324</v>
      </c>
      <c r="J737" s="7" t="str">
        <f t="shared" si="132"/>
        <v>Warroad</v>
      </c>
      <c r="K737" s="7" t="str">
        <f t="shared" si="133"/>
        <v xml:space="preserve">MN  </v>
      </c>
      <c r="L737" s="7" t="str">
        <f t="shared" si="128"/>
        <v xml:space="preserve">MN </v>
      </c>
      <c r="M737" s="7" t="str">
        <f t="shared" si="129"/>
        <v xml:space="preserve">MN </v>
      </c>
      <c r="N737" s="9">
        <f t="shared" si="130"/>
        <v>48.93</v>
      </c>
      <c r="O737" s="9">
        <f t="shared" si="131"/>
        <v>95.35</v>
      </c>
    </row>
    <row r="738" spans="1:15" x14ac:dyDescent="0.2">
      <c r="A738" s="1" t="s">
        <v>1502</v>
      </c>
      <c r="B738" s="2">
        <v>43.65</v>
      </c>
      <c r="C738" s="2">
        <v>95.58</v>
      </c>
      <c r="D738" s="2" t="s">
        <v>1503</v>
      </c>
      <c r="H738" s="2" t="s">
        <v>3325</v>
      </c>
      <c r="J738" s="7" t="str">
        <f t="shared" si="132"/>
        <v>Worthington</v>
      </c>
      <c r="K738" s="7" t="str">
        <f t="shared" si="133"/>
        <v xml:space="preserve">MN  </v>
      </c>
      <c r="L738" s="7" t="str">
        <f t="shared" si="128"/>
        <v xml:space="preserve">MN </v>
      </c>
      <c r="M738" s="7" t="str">
        <f t="shared" si="129"/>
        <v xml:space="preserve">MN </v>
      </c>
      <c r="N738" s="9">
        <f t="shared" si="130"/>
        <v>43.65</v>
      </c>
      <c r="O738" s="9">
        <f t="shared" si="131"/>
        <v>95.58</v>
      </c>
    </row>
    <row r="739" spans="1:15" x14ac:dyDescent="0.2">
      <c r="A739" s="4"/>
      <c r="H739" s="2" t="s">
        <v>2726</v>
      </c>
      <c r="J739" s="7"/>
      <c r="K739" s="7"/>
      <c r="L739" s="7"/>
      <c r="M739" s="7"/>
      <c r="N739" s="9"/>
      <c r="O739" s="9"/>
    </row>
    <row r="740" spans="1:15" x14ac:dyDescent="0.2">
      <c r="A740" s="1" t="s">
        <v>23</v>
      </c>
      <c r="H740" s="2" t="s">
        <v>2726</v>
      </c>
      <c r="J740" s="7"/>
      <c r="K740" s="7"/>
      <c r="L740" s="7"/>
      <c r="M740" s="7"/>
      <c r="N740" s="9"/>
      <c r="O740" s="9"/>
    </row>
    <row r="741" spans="1:15" x14ac:dyDescent="0.2">
      <c r="A741" s="4"/>
      <c r="H741" s="2" t="s">
        <v>2726</v>
      </c>
      <c r="J741" s="7"/>
      <c r="K741" s="7"/>
      <c r="L741" s="7"/>
      <c r="M741" s="7"/>
      <c r="N741" s="9"/>
      <c r="O741" s="9"/>
    </row>
    <row r="742" spans="1:15" x14ac:dyDescent="0.2">
      <c r="A742" s="1" t="s">
        <v>1504</v>
      </c>
      <c r="B742" s="2">
        <v>33.65</v>
      </c>
      <c r="C742" s="2">
        <v>88.45</v>
      </c>
      <c r="D742" s="2" t="s">
        <v>1505</v>
      </c>
      <c r="E742" s="2" t="s">
        <v>1506</v>
      </c>
      <c r="H742" s="2" t="s">
        <v>3326</v>
      </c>
      <c r="J742" s="7" t="str">
        <f t="shared" si="132"/>
        <v>Columbus AF</v>
      </c>
      <c r="K742" s="7" t="str">
        <f t="shared" si="133"/>
        <v xml:space="preserve">,MS </v>
      </c>
      <c r="L742" s="7" t="str">
        <f t="shared" ref="L742:L756" si="134">LEFT(K742,LEN(K742)-1)</f>
        <v>,MS</v>
      </c>
      <c r="M742" s="7" t="str">
        <f t="shared" ref="M742:M756" si="135">SUBSTITUTE(L742,",","")</f>
        <v>MS</v>
      </c>
      <c r="N742" s="9">
        <f t="shared" ref="N742:N756" si="136">B742</f>
        <v>33.65</v>
      </c>
      <c r="O742" s="9">
        <f t="shared" ref="O742:O756" si="137">C742</f>
        <v>88.45</v>
      </c>
    </row>
    <row r="743" spans="1:15" x14ac:dyDescent="0.2">
      <c r="A743" s="1" t="s">
        <v>1507</v>
      </c>
      <c r="B743" s="2">
        <v>33.450000000000003</v>
      </c>
      <c r="C743" s="2">
        <v>88.58</v>
      </c>
      <c r="D743" s="2" t="s">
        <v>1508</v>
      </c>
      <c r="E743" s="2" t="s">
        <v>1509</v>
      </c>
      <c r="H743" s="2" t="s">
        <v>3327</v>
      </c>
      <c r="J743" s="7" t="str">
        <f t="shared" si="132"/>
        <v>Golden Tria</v>
      </c>
      <c r="K743" s="7" t="str">
        <f t="shared" si="133"/>
        <v xml:space="preserve">,MS </v>
      </c>
      <c r="L743" s="7" t="str">
        <f t="shared" si="134"/>
        <v>,MS</v>
      </c>
      <c r="M743" s="7" t="str">
        <f t="shared" si="135"/>
        <v>MS</v>
      </c>
      <c r="N743" s="9">
        <f t="shared" si="136"/>
        <v>33.450000000000003</v>
      </c>
      <c r="O743" s="9">
        <f t="shared" si="137"/>
        <v>88.58</v>
      </c>
    </row>
    <row r="744" spans="1:15" x14ac:dyDescent="0.2">
      <c r="A744" s="1" t="s">
        <v>1510</v>
      </c>
      <c r="B744" s="2">
        <v>33.479999999999997</v>
      </c>
      <c r="C744" s="2">
        <v>90.98</v>
      </c>
      <c r="D744" s="2" t="s">
        <v>1511</v>
      </c>
      <c r="H744" s="2" t="s">
        <v>3328</v>
      </c>
      <c r="J744" s="7" t="str">
        <f t="shared" si="132"/>
        <v>Greenville</v>
      </c>
      <c r="K744" s="7" t="str">
        <f t="shared" si="133"/>
        <v xml:space="preserve">MS  </v>
      </c>
      <c r="L744" s="7" t="str">
        <f t="shared" si="134"/>
        <v xml:space="preserve">MS </v>
      </c>
      <c r="M744" s="7" t="str">
        <f t="shared" si="135"/>
        <v xml:space="preserve">MS </v>
      </c>
      <c r="N744" s="9">
        <f t="shared" si="136"/>
        <v>33.479999999999997</v>
      </c>
      <c r="O744" s="9">
        <f t="shared" si="137"/>
        <v>90.98</v>
      </c>
    </row>
    <row r="745" spans="1:15" x14ac:dyDescent="0.2">
      <c r="A745" s="1" t="s">
        <v>1512</v>
      </c>
      <c r="B745" s="2">
        <v>33.5</v>
      </c>
      <c r="C745" s="2">
        <v>90.08</v>
      </c>
      <c r="D745" s="2" t="s">
        <v>1513</v>
      </c>
      <c r="H745" s="2" t="s">
        <v>3329</v>
      </c>
      <c r="J745" s="7" t="str">
        <f t="shared" si="132"/>
        <v>Greenwood</v>
      </c>
      <c r="K745" s="7" t="str">
        <f t="shared" si="133"/>
        <v xml:space="preserve">MS  </v>
      </c>
      <c r="L745" s="7" t="str">
        <f t="shared" si="134"/>
        <v xml:space="preserve">MS </v>
      </c>
      <c r="M745" s="7" t="str">
        <f t="shared" si="135"/>
        <v xml:space="preserve">MS </v>
      </c>
      <c r="N745" s="9">
        <f t="shared" si="136"/>
        <v>33.5</v>
      </c>
      <c r="O745" s="9">
        <f t="shared" si="137"/>
        <v>90.08</v>
      </c>
    </row>
    <row r="746" spans="1:15" x14ac:dyDescent="0.2">
      <c r="A746" s="1" t="s">
        <v>1514</v>
      </c>
      <c r="B746" s="2">
        <v>30.4</v>
      </c>
      <c r="C746" s="2">
        <v>89.07</v>
      </c>
      <c r="D746" s="2" t="s">
        <v>1515</v>
      </c>
      <c r="H746" s="2" t="s">
        <v>3330</v>
      </c>
      <c r="J746" s="7" t="str">
        <f t="shared" si="132"/>
        <v>Gulfport</v>
      </c>
      <c r="K746" s="7" t="str">
        <f t="shared" si="133"/>
        <v xml:space="preserve">MS  </v>
      </c>
      <c r="L746" s="7" t="str">
        <f t="shared" si="134"/>
        <v xml:space="preserve">MS </v>
      </c>
      <c r="M746" s="7" t="str">
        <f t="shared" si="135"/>
        <v xml:space="preserve">MS </v>
      </c>
      <c r="N746" s="9">
        <f t="shared" si="136"/>
        <v>30.4</v>
      </c>
      <c r="O746" s="9">
        <f t="shared" si="137"/>
        <v>89.07</v>
      </c>
    </row>
    <row r="747" spans="1:15" x14ac:dyDescent="0.2">
      <c r="A747" s="1" t="s">
        <v>1516</v>
      </c>
      <c r="B747" s="2">
        <v>31.47</v>
      </c>
      <c r="C747" s="2">
        <v>89.33</v>
      </c>
      <c r="D747" s="2" t="s">
        <v>1517</v>
      </c>
      <c r="H747" s="2" t="s">
        <v>3331</v>
      </c>
      <c r="J747" s="7" t="str">
        <f t="shared" si="132"/>
        <v>Hattiesburg</v>
      </c>
      <c r="K747" s="7" t="str">
        <f t="shared" si="133"/>
        <v xml:space="preserve">MS  </v>
      </c>
      <c r="L747" s="7" t="str">
        <f t="shared" si="134"/>
        <v xml:space="preserve">MS </v>
      </c>
      <c r="M747" s="7" t="str">
        <f t="shared" si="135"/>
        <v xml:space="preserve">MS </v>
      </c>
      <c r="N747" s="9">
        <f t="shared" si="136"/>
        <v>31.47</v>
      </c>
      <c r="O747" s="9">
        <f t="shared" si="137"/>
        <v>89.33</v>
      </c>
    </row>
    <row r="748" spans="1:15" x14ac:dyDescent="0.2">
      <c r="A748" s="1" t="s">
        <v>1518</v>
      </c>
      <c r="B748" s="2">
        <v>32.32</v>
      </c>
      <c r="C748" s="2">
        <v>90.08</v>
      </c>
      <c r="D748" s="2" t="s">
        <v>1519</v>
      </c>
      <c r="H748" s="2" t="s">
        <v>3332</v>
      </c>
      <c r="J748" s="7" t="str">
        <f t="shared" si="132"/>
        <v>Jackson</v>
      </c>
      <c r="K748" s="7" t="str">
        <f t="shared" si="133"/>
        <v xml:space="preserve">MS  </v>
      </c>
      <c r="L748" s="7" t="str">
        <f t="shared" si="134"/>
        <v xml:space="preserve">MS </v>
      </c>
      <c r="M748" s="7" t="str">
        <f t="shared" si="135"/>
        <v xml:space="preserve">MS </v>
      </c>
      <c r="N748" s="9">
        <f t="shared" si="136"/>
        <v>32.32</v>
      </c>
      <c r="O748" s="9">
        <f t="shared" si="137"/>
        <v>90.08</v>
      </c>
    </row>
    <row r="749" spans="1:15" x14ac:dyDescent="0.2">
      <c r="A749" s="1" t="s">
        <v>1520</v>
      </c>
      <c r="B749" s="2">
        <v>30.42</v>
      </c>
      <c r="C749" s="2">
        <v>88.92</v>
      </c>
      <c r="D749" s="2" t="s">
        <v>1521</v>
      </c>
      <c r="E749" s="2" t="s">
        <v>1506</v>
      </c>
      <c r="H749" s="2" t="s">
        <v>3333</v>
      </c>
      <c r="J749" s="7" t="str">
        <f t="shared" si="132"/>
        <v>Keesler AF</v>
      </c>
      <c r="K749" s="7" t="str">
        <f t="shared" si="133"/>
        <v xml:space="preserve">,MS </v>
      </c>
      <c r="L749" s="7" t="str">
        <f t="shared" si="134"/>
        <v>,MS</v>
      </c>
      <c r="M749" s="7" t="str">
        <f t="shared" si="135"/>
        <v>MS</v>
      </c>
      <c r="N749" s="9">
        <f t="shared" si="136"/>
        <v>30.42</v>
      </c>
      <c r="O749" s="9">
        <f t="shared" si="137"/>
        <v>88.92</v>
      </c>
    </row>
    <row r="750" spans="1:15" x14ac:dyDescent="0.2">
      <c r="A750" s="1" t="s">
        <v>1522</v>
      </c>
      <c r="B750" s="2">
        <v>31.67</v>
      </c>
      <c r="C750" s="2">
        <v>89.17</v>
      </c>
      <c r="D750" s="2" t="s">
        <v>1523</v>
      </c>
      <c r="H750" s="2" t="s">
        <v>3334</v>
      </c>
      <c r="J750" s="7" t="str">
        <f t="shared" si="132"/>
        <v>Laurel</v>
      </c>
      <c r="K750" s="7" t="str">
        <f t="shared" si="133"/>
        <v xml:space="preserve">MS  </v>
      </c>
      <c r="L750" s="7" t="str">
        <f t="shared" si="134"/>
        <v xml:space="preserve">MS </v>
      </c>
      <c r="M750" s="7" t="str">
        <f t="shared" si="135"/>
        <v xml:space="preserve">MS </v>
      </c>
      <c r="N750" s="9">
        <f t="shared" si="136"/>
        <v>31.67</v>
      </c>
      <c r="O750" s="9">
        <f t="shared" si="137"/>
        <v>89.17</v>
      </c>
    </row>
    <row r="751" spans="1:15" x14ac:dyDescent="0.2">
      <c r="A751" s="1" t="s">
        <v>1524</v>
      </c>
      <c r="B751" s="2">
        <v>31.18</v>
      </c>
      <c r="C751" s="2">
        <v>90.47</v>
      </c>
      <c r="D751" s="2" t="s">
        <v>1525</v>
      </c>
      <c r="H751" s="2" t="s">
        <v>3335</v>
      </c>
      <c r="J751" s="7" t="str">
        <f t="shared" si="132"/>
        <v>Mccomb</v>
      </c>
      <c r="K751" s="7" t="str">
        <f t="shared" si="133"/>
        <v xml:space="preserve">MS  </v>
      </c>
      <c r="L751" s="7" t="str">
        <f t="shared" si="134"/>
        <v xml:space="preserve">MS </v>
      </c>
      <c r="M751" s="7" t="str">
        <f t="shared" si="135"/>
        <v xml:space="preserve">MS </v>
      </c>
      <c r="N751" s="9">
        <f t="shared" si="136"/>
        <v>31.18</v>
      </c>
      <c r="O751" s="9">
        <f t="shared" si="137"/>
        <v>90.47</v>
      </c>
    </row>
    <row r="752" spans="1:15" x14ac:dyDescent="0.2">
      <c r="A752" s="1" t="s">
        <v>1526</v>
      </c>
      <c r="B752" s="2">
        <v>32.549999999999997</v>
      </c>
      <c r="C752" s="2">
        <v>88.57</v>
      </c>
      <c r="D752" s="2" t="s">
        <v>1527</v>
      </c>
      <c r="E752" s="2" t="s">
        <v>1528</v>
      </c>
      <c r="H752" s="2" t="s">
        <v>3336</v>
      </c>
      <c r="J752" s="7" t="str">
        <f t="shared" si="132"/>
        <v>Meridian NA</v>
      </c>
      <c r="K752" s="7" t="str">
        <f t="shared" si="133"/>
        <v xml:space="preserve">,MS </v>
      </c>
      <c r="L752" s="7" t="str">
        <f t="shared" si="134"/>
        <v>,MS</v>
      </c>
      <c r="M752" s="7" t="str">
        <f t="shared" si="135"/>
        <v>MS</v>
      </c>
      <c r="N752" s="9">
        <f t="shared" si="136"/>
        <v>32.549999999999997</v>
      </c>
      <c r="O752" s="9">
        <f t="shared" si="137"/>
        <v>88.57</v>
      </c>
    </row>
    <row r="753" spans="1:15" x14ac:dyDescent="0.2">
      <c r="A753" s="1" t="s">
        <v>1529</v>
      </c>
      <c r="B753" s="2">
        <v>32.33</v>
      </c>
      <c r="C753" s="2">
        <v>88.75</v>
      </c>
      <c r="D753" s="2" t="s">
        <v>1530</v>
      </c>
      <c r="H753" s="2" t="s">
        <v>3337</v>
      </c>
      <c r="J753" s="7" t="str">
        <f t="shared" si="132"/>
        <v>Meridian/Key</v>
      </c>
      <c r="K753" s="7" t="str">
        <f t="shared" si="133"/>
        <v xml:space="preserve">MS  </v>
      </c>
      <c r="L753" s="7" t="str">
        <f t="shared" si="134"/>
        <v xml:space="preserve">MS </v>
      </c>
      <c r="M753" s="7" t="str">
        <f t="shared" si="135"/>
        <v xml:space="preserve">MS </v>
      </c>
      <c r="N753" s="9">
        <f t="shared" si="136"/>
        <v>32.33</v>
      </c>
      <c r="O753" s="9">
        <f t="shared" si="137"/>
        <v>88.75</v>
      </c>
    </row>
    <row r="754" spans="1:15" x14ac:dyDescent="0.2">
      <c r="A754" s="1" t="s">
        <v>1531</v>
      </c>
      <c r="B754" s="2">
        <v>31.62</v>
      </c>
      <c r="C754" s="2">
        <v>91.25</v>
      </c>
      <c r="D754" s="2" t="s">
        <v>1532</v>
      </c>
      <c r="H754" s="2" t="s">
        <v>3338</v>
      </c>
      <c r="J754" s="7" t="str">
        <f t="shared" si="132"/>
        <v>Natchez</v>
      </c>
      <c r="K754" s="7" t="str">
        <f t="shared" si="133"/>
        <v xml:space="preserve">MS  </v>
      </c>
      <c r="L754" s="7" t="str">
        <f t="shared" si="134"/>
        <v xml:space="preserve">MS </v>
      </c>
      <c r="M754" s="7" t="str">
        <f t="shared" si="135"/>
        <v xml:space="preserve">MS </v>
      </c>
      <c r="N754" s="9">
        <f t="shared" si="136"/>
        <v>31.62</v>
      </c>
      <c r="O754" s="9">
        <f t="shared" si="137"/>
        <v>91.25</v>
      </c>
    </row>
    <row r="755" spans="1:15" x14ac:dyDescent="0.2">
      <c r="A755" s="1" t="s">
        <v>1533</v>
      </c>
      <c r="B755" s="2">
        <v>34.39</v>
      </c>
      <c r="C755" s="2">
        <v>89.54</v>
      </c>
      <c r="D755" s="2" t="s">
        <v>1534</v>
      </c>
      <c r="H755" s="2" t="s">
        <v>3339</v>
      </c>
      <c r="J755" s="7" t="str">
        <f t="shared" si="132"/>
        <v>Oxford</v>
      </c>
      <c r="K755" s="7" t="str">
        <f t="shared" si="133"/>
        <v xml:space="preserve">MS  </v>
      </c>
      <c r="L755" s="7" t="str">
        <f t="shared" si="134"/>
        <v xml:space="preserve">MS </v>
      </c>
      <c r="M755" s="7" t="str">
        <f t="shared" si="135"/>
        <v xml:space="preserve">MS </v>
      </c>
      <c r="N755" s="9">
        <f t="shared" si="136"/>
        <v>34.39</v>
      </c>
      <c r="O755" s="9">
        <f t="shared" si="137"/>
        <v>89.54</v>
      </c>
    </row>
    <row r="756" spans="1:15" x14ac:dyDescent="0.2">
      <c r="A756" s="1" t="s">
        <v>1535</v>
      </c>
      <c r="B756" s="2">
        <v>34.270000000000003</v>
      </c>
      <c r="C756" s="2">
        <v>88.77</v>
      </c>
      <c r="D756" s="2" t="s">
        <v>1536</v>
      </c>
      <c r="H756" s="2" t="s">
        <v>3340</v>
      </c>
      <c r="J756" s="7" t="str">
        <f t="shared" si="132"/>
        <v>Tupelo</v>
      </c>
      <c r="K756" s="7" t="str">
        <f t="shared" si="133"/>
        <v xml:space="preserve">MS  </v>
      </c>
      <c r="L756" s="7" t="str">
        <f t="shared" si="134"/>
        <v xml:space="preserve">MS </v>
      </c>
      <c r="M756" s="7" t="str">
        <f t="shared" si="135"/>
        <v xml:space="preserve">MS </v>
      </c>
      <c r="N756" s="9">
        <f t="shared" si="136"/>
        <v>34.270000000000003</v>
      </c>
      <c r="O756" s="9">
        <f t="shared" si="137"/>
        <v>88.77</v>
      </c>
    </row>
    <row r="757" spans="1:15" x14ac:dyDescent="0.2">
      <c r="A757" s="4"/>
      <c r="H757" s="2" t="s">
        <v>2726</v>
      </c>
      <c r="J757" s="7"/>
      <c r="K757" s="7"/>
      <c r="L757" s="7"/>
      <c r="M757" s="7"/>
      <c r="N757" s="9"/>
      <c r="O757" s="9"/>
    </row>
    <row r="758" spans="1:15" x14ac:dyDescent="0.2">
      <c r="A758" s="1" t="s">
        <v>24</v>
      </c>
      <c r="H758" s="2" t="s">
        <v>2726</v>
      </c>
      <c r="J758" s="7"/>
      <c r="K758" s="7"/>
      <c r="L758" s="7"/>
      <c r="M758" s="7"/>
      <c r="N758" s="9"/>
      <c r="O758" s="9"/>
    </row>
    <row r="759" spans="1:15" x14ac:dyDescent="0.2">
      <c r="A759" s="4"/>
      <c r="H759" s="2" t="s">
        <v>2726</v>
      </c>
      <c r="J759" s="7"/>
      <c r="K759" s="7"/>
      <c r="L759" s="7"/>
      <c r="M759" s="7"/>
      <c r="N759" s="9"/>
      <c r="O759" s="9"/>
    </row>
    <row r="760" spans="1:15" x14ac:dyDescent="0.2">
      <c r="A760" s="1" t="s">
        <v>1537</v>
      </c>
      <c r="B760" s="2">
        <v>38.82</v>
      </c>
      <c r="C760" s="2">
        <v>92.22</v>
      </c>
      <c r="D760" s="2" t="s">
        <v>1538</v>
      </c>
      <c r="H760" s="2" t="s">
        <v>3341</v>
      </c>
      <c r="J760" s="7" t="str">
        <f t="shared" si="132"/>
        <v>Columbia</v>
      </c>
      <c r="K760" s="7" t="str">
        <f t="shared" si="133"/>
        <v xml:space="preserve">MO  </v>
      </c>
      <c r="L760" s="7" t="str">
        <f t="shared" ref="L760:L780" si="138">LEFT(K760,LEN(K760)-1)</f>
        <v xml:space="preserve">MO </v>
      </c>
      <c r="M760" s="7" t="str">
        <f t="shared" ref="M760:M780" si="139">SUBSTITUTE(L760,",","")</f>
        <v xml:space="preserve">MO </v>
      </c>
      <c r="N760" s="9">
        <f t="shared" ref="N760:N780" si="140">B760</f>
        <v>38.82</v>
      </c>
      <c r="O760" s="9">
        <f t="shared" ref="O760:O780" si="141">C760</f>
        <v>92.22</v>
      </c>
    </row>
    <row r="761" spans="1:15" x14ac:dyDescent="0.2">
      <c r="A761" s="1" t="s">
        <v>1539</v>
      </c>
      <c r="B761" s="2">
        <v>37.229999999999997</v>
      </c>
      <c r="C761" s="2">
        <v>89.58</v>
      </c>
      <c r="D761" s="2" t="s">
        <v>1540</v>
      </c>
      <c r="E761" s="2" t="s">
        <v>1541</v>
      </c>
      <c r="H761" s="2" t="s">
        <v>3342</v>
      </c>
      <c r="J761" s="7" t="str">
        <f t="shared" si="132"/>
        <v>Cp Girardea</v>
      </c>
      <c r="K761" s="7" t="str">
        <f t="shared" si="133"/>
        <v xml:space="preserve">,MO </v>
      </c>
      <c r="L761" s="7" t="str">
        <f t="shared" si="138"/>
        <v>,MO</v>
      </c>
      <c r="M761" s="7" t="str">
        <f t="shared" si="139"/>
        <v>MO</v>
      </c>
      <c r="N761" s="9">
        <f t="shared" si="140"/>
        <v>37.229999999999997</v>
      </c>
      <c r="O761" s="9">
        <f t="shared" si="141"/>
        <v>89.58</v>
      </c>
    </row>
    <row r="762" spans="1:15" x14ac:dyDescent="0.2">
      <c r="A762" s="1" t="s">
        <v>1542</v>
      </c>
      <c r="B762" s="2">
        <v>37.75</v>
      </c>
      <c r="C762" s="2">
        <v>92.13</v>
      </c>
      <c r="D762" s="2" t="s">
        <v>401</v>
      </c>
      <c r="E762" s="2" t="s">
        <v>1543</v>
      </c>
      <c r="H762" s="2" t="s">
        <v>3343</v>
      </c>
      <c r="J762" s="7" t="str">
        <f t="shared" si="132"/>
        <v>Ft Leonar</v>
      </c>
      <c r="K762" s="7" t="str">
        <f t="shared" si="133"/>
        <v xml:space="preserve">,MO </v>
      </c>
      <c r="L762" s="7" t="str">
        <f t="shared" si="138"/>
        <v>,MO</v>
      </c>
      <c r="M762" s="7" t="str">
        <f t="shared" si="139"/>
        <v>MO</v>
      </c>
      <c r="N762" s="9">
        <f t="shared" si="140"/>
        <v>37.75</v>
      </c>
      <c r="O762" s="9">
        <f t="shared" si="141"/>
        <v>92.13</v>
      </c>
    </row>
    <row r="763" spans="1:15" x14ac:dyDescent="0.2">
      <c r="A763" s="1" t="s">
        <v>1544</v>
      </c>
      <c r="B763" s="2">
        <v>38.6</v>
      </c>
      <c r="C763" s="2">
        <v>92.17</v>
      </c>
      <c r="D763" s="2" t="s">
        <v>1545</v>
      </c>
      <c r="E763" s="2" t="s">
        <v>1546</v>
      </c>
      <c r="H763" s="2" t="s">
        <v>3344</v>
      </c>
      <c r="J763" s="7" t="str">
        <f t="shared" si="132"/>
        <v>Jefferson Cit</v>
      </c>
      <c r="K763" s="7" t="str">
        <f t="shared" si="133"/>
        <v xml:space="preserve">,MO </v>
      </c>
      <c r="L763" s="7" t="str">
        <f t="shared" si="138"/>
        <v>,MO</v>
      </c>
      <c r="M763" s="7" t="str">
        <f t="shared" si="139"/>
        <v>MO</v>
      </c>
      <c r="N763" s="9">
        <f t="shared" si="140"/>
        <v>38.6</v>
      </c>
      <c r="O763" s="9">
        <f t="shared" si="141"/>
        <v>92.17</v>
      </c>
    </row>
    <row r="764" spans="1:15" x14ac:dyDescent="0.2">
      <c r="A764" s="1" t="s">
        <v>1547</v>
      </c>
      <c r="B764" s="2">
        <v>37.17</v>
      </c>
      <c r="C764" s="2">
        <v>94.5</v>
      </c>
      <c r="D764" s="2" t="s">
        <v>1548</v>
      </c>
      <c r="H764" s="2" t="s">
        <v>3345</v>
      </c>
      <c r="J764" s="7" t="str">
        <f t="shared" si="132"/>
        <v>Joplin</v>
      </c>
      <c r="K764" s="7" t="str">
        <f t="shared" si="133"/>
        <v xml:space="preserve">MO  </v>
      </c>
      <c r="L764" s="7" t="str">
        <f t="shared" si="138"/>
        <v xml:space="preserve">MO </v>
      </c>
      <c r="M764" s="7" t="str">
        <f t="shared" si="139"/>
        <v xml:space="preserve">MO </v>
      </c>
      <c r="N764" s="9">
        <f t="shared" si="140"/>
        <v>37.17</v>
      </c>
      <c r="O764" s="9">
        <f t="shared" si="141"/>
        <v>94.5</v>
      </c>
    </row>
    <row r="765" spans="1:15" x14ac:dyDescent="0.2">
      <c r="A765" s="1" t="s">
        <v>1549</v>
      </c>
      <c r="B765" s="2">
        <v>39.32</v>
      </c>
      <c r="C765" s="2">
        <v>94.72</v>
      </c>
      <c r="D765" s="2" t="s">
        <v>15</v>
      </c>
      <c r="E765" s="2" t="s">
        <v>1546</v>
      </c>
      <c r="H765" s="2" t="s">
        <v>3869</v>
      </c>
      <c r="J765" s="7" t="str">
        <f t="shared" si="132"/>
        <v>Kansas City</v>
      </c>
      <c r="K765" s="7" t="str">
        <f t="shared" si="133"/>
        <v xml:space="preserve">MO  </v>
      </c>
      <c r="L765" s="7" t="str">
        <f t="shared" si="138"/>
        <v xml:space="preserve">MO </v>
      </c>
      <c r="M765" s="7" t="str">
        <f t="shared" si="139"/>
        <v xml:space="preserve">MO </v>
      </c>
      <c r="N765" s="9">
        <f t="shared" si="140"/>
        <v>39.32</v>
      </c>
      <c r="O765" s="9">
        <f t="shared" si="141"/>
        <v>94.72</v>
      </c>
    </row>
    <row r="766" spans="1:15" x14ac:dyDescent="0.2">
      <c r="A766" s="1" t="s">
        <v>1550</v>
      </c>
      <c r="B766" s="2">
        <v>39.119999999999997</v>
      </c>
      <c r="C766" s="2">
        <v>94.6</v>
      </c>
      <c r="D766" s="2" t="s">
        <v>15</v>
      </c>
      <c r="E766" s="2" t="s">
        <v>1546</v>
      </c>
      <c r="H766" s="2" t="s">
        <v>3346</v>
      </c>
      <c r="J766" s="7" t="str">
        <f t="shared" si="132"/>
        <v>Kansas Cit</v>
      </c>
      <c r="K766" s="7" t="str">
        <f t="shared" si="133"/>
        <v xml:space="preserve">,MO </v>
      </c>
      <c r="L766" s="7" t="str">
        <f t="shared" si="138"/>
        <v>,MO</v>
      </c>
      <c r="M766" s="7" t="str">
        <f t="shared" si="139"/>
        <v>MO</v>
      </c>
      <c r="N766" s="9">
        <f t="shared" si="140"/>
        <v>39.119999999999997</v>
      </c>
      <c r="O766" s="9">
        <f t="shared" si="141"/>
        <v>94.6</v>
      </c>
    </row>
    <row r="767" spans="1:15" x14ac:dyDescent="0.2">
      <c r="A767" s="1" t="s">
        <v>1551</v>
      </c>
      <c r="B767" s="2">
        <v>40.1</v>
      </c>
      <c r="C767" s="2">
        <v>92.55</v>
      </c>
      <c r="D767" s="2" t="s">
        <v>1552</v>
      </c>
      <c r="H767" s="2" t="s">
        <v>3347</v>
      </c>
      <c r="J767" s="7" t="str">
        <f t="shared" si="132"/>
        <v>Kirksville</v>
      </c>
      <c r="K767" s="7" t="str">
        <f t="shared" si="133"/>
        <v xml:space="preserve">MO  </v>
      </c>
      <c r="L767" s="7" t="str">
        <f t="shared" si="138"/>
        <v xml:space="preserve">MO </v>
      </c>
      <c r="M767" s="7" t="str">
        <f t="shared" si="139"/>
        <v xml:space="preserve">MO </v>
      </c>
      <c r="N767" s="9">
        <f t="shared" si="140"/>
        <v>40.1</v>
      </c>
      <c r="O767" s="9">
        <f t="shared" si="141"/>
        <v>92.55</v>
      </c>
    </row>
    <row r="768" spans="1:15" x14ac:dyDescent="0.2">
      <c r="A768" s="1" t="s">
        <v>1553</v>
      </c>
      <c r="B768" s="2">
        <v>37.33</v>
      </c>
      <c r="C768" s="2">
        <v>94.35</v>
      </c>
      <c r="D768" s="2" t="s">
        <v>1554</v>
      </c>
      <c r="H768" s="2" t="s">
        <v>3348</v>
      </c>
      <c r="J768" s="7" t="str">
        <f t="shared" si="132"/>
        <v>Monett</v>
      </c>
      <c r="K768" s="7" t="str">
        <f t="shared" si="133"/>
        <v xml:space="preserve">MO  </v>
      </c>
      <c r="L768" s="7" t="str">
        <f t="shared" si="138"/>
        <v xml:space="preserve">MO </v>
      </c>
      <c r="M768" s="7" t="str">
        <f t="shared" si="139"/>
        <v xml:space="preserve">MO </v>
      </c>
      <c r="N768" s="9">
        <f t="shared" si="140"/>
        <v>37.33</v>
      </c>
      <c r="O768" s="9">
        <f t="shared" si="141"/>
        <v>94.35</v>
      </c>
    </row>
    <row r="769" spans="1:15" x14ac:dyDescent="0.2">
      <c r="A769" s="1" t="s">
        <v>1555</v>
      </c>
      <c r="B769" s="2">
        <v>35.659999999999997</v>
      </c>
      <c r="C769" s="2">
        <v>95.36</v>
      </c>
      <c r="D769" s="2" t="s">
        <v>1556</v>
      </c>
      <c r="H769" s="2" t="s">
        <v>3349</v>
      </c>
      <c r="J769" s="7" t="str">
        <f t="shared" si="132"/>
        <v>Muskogee</v>
      </c>
      <c r="K769" s="7" t="str">
        <f t="shared" si="133"/>
        <v xml:space="preserve">MO  </v>
      </c>
      <c r="L769" s="7" t="str">
        <f t="shared" si="138"/>
        <v xml:space="preserve">MO </v>
      </c>
      <c r="M769" s="7" t="str">
        <f t="shared" si="139"/>
        <v xml:space="preserve">MO </v>
      </c>
      <c r="N769" s="9">
        <f t="shared" si="140"/>
        <v>35.659999999999997</v>
      </c>
      <c r="O769" s="9">
        <f t="shared" si="141"/>
        <v>95.36</v>
      </c>
    </row>
    <row r="770" spans="1:15" x14ac:dyDescent="0.2">
      <c r="A770" s="1" t="s">
        <v>1557</v>
      </c>
      <c r="B770" s="2">
        <v>36.770000000000003</v>
      </c>
      <c r="C770" s="2">
        <v>90.47</v>
      </c>
      <c r="D770" s="2" t="s">
        <v>1558</v>
      </c>
      <c r="E770" s="2" t="s">
        <v>1559</v>
      </c>
      <c r="H770" s="2" t="s">
        <v>3350</v>
      </c>
      <c r="J770" s="7" t="str">
        <f t="shared" si="132"/>
        <v>Poplar Bluf</v>
      </c>
      <c r="K770" s="7" t="str">
        <f t="shared" si="133"/>
        <v xml:space="preserve">,MO </v>
      </c>
      <c r="L770" s="7" t="str">
        <f t="shared" si="138"/>
        <v>,MO</v>
      </c>
      <c r="M770" s="7" t="str">
        <f t="shared" si="139"/>
        <v>MO</v>
      </c>
      <c r="N770" s="9">
        <f t="shared" si="140"/>
        <v>36.770000000000003</v>
      </c>
      <c r="O770" s="9">
        <f t="shared" si="141"/>
        <v>90.47</v>
      </c>
    </row>
    <row r="771" spans="1:15" x14ac:dyDescent="0.2">
      <c r="A771" s="1" t="s">
        <v>1560</v>
      </c>
      <c r="B771" s="2">
        <v>38.85</v>
      </c>
      <c r="C771" s="2">
        <v>94.55</v>
      </c>
      <c r="D771" s="2" t="s">
        <v>1561</v>
      </c>
      <c r="H771" s="2" t="s">
        <v>3351</v>
      </c>
      <c r="J771" s="7" t="str">
        <f t="shared" si="132"/>
        <v>Richards-Geb</v>
      </c>
      <c r="K771" s="7" t="str">
        <f t="shared" si="133"/>
        <v xml:space="preserve">MO  </v>
      </c>
      <c r="L771" s="7" t="str">
        <f t="shared" si="138"/>
        <v xml:space="preserve">MO </v>
      </c>
      <c r="M771" s="7" t="str">
        <f t="shared" si="139"/>
        <v xml:space="preserve">MO </v>
      </c>
      <c r="N771" s="9">
        <f t="shared" si="140"/>
        <v>38.85</v>
      </c>
      <c r="O771" s="9">
        <f t="shared" si="141"/>
        <v>94.55</v>
      </c>
    </row>
    <row r="772" spans="1:15" x14ac:dyDescent="0.2">
      <c r="A772" s="1" t="s">
        <v>1562</v>
      </c>
      <c r="B772" s="2">
        <v>40.25</v>
      </c>
      <c r="C772" s="2">
        <v>93.72</v>
      </c>
      <c r="D772" s="2" t="s">
        <v>1563</v>
      </c>
      <c r="H772" s="2" t="s">
        <v>3352</v>
      </c>
      <c r="J772" s="7" t="str">
        <f t="shared" si="132"/>
        <v>Spickard</v>
      </c>
      <c r="K772" s="7" t="str">
        <f t="shared" si="133"/>
        <v xml:space="preserve">MO  </v>
      </c>
      <c r="L772" s="7" t="str">
        <f t="shared" si="138"/>
        <v xml:space="preserve">MO </v>
      </c>
      <c r="M772" s="7" t="str">
        <f t="shared" si="139"/>
        <v xml:space="preserve">MO </v>
      </c>
      <c r="N772" s="9">
        <f t="shared" si="140"/>
        <v>40.25</v>
      </c>
      <c r="O772" s="9">
        <f t="shared" si="141"/>
        <v>93.72</v>
      </c>
    </row>
    <row r="773" spans="1:15" x14ac:dyDescent="0.2">
      <c r="A773" s="1" t="s">
        <v>1564</v>
      </c>
      <c r="B773" s="2">
        <v>37.229999999999997</v>
      </c>
      <c r="C773" s="2">
        <v>93.38</v>
      </c>
      <c r="D773" s="2" t="s">
        <v>1565</v>
      </c>
      <c r="H773" s="2" t="s">
        <v>3353</v>
      </c>
      <c r="J773" s="7" t="str">
        <f t="shared" si="132"/>
        <v>Springfield</v>
      </c>
      <c r="K773" s="7" t="str">
        <f t="shared" si="133"/>
        <v xml:space="preserve">MO  </v>
      </c>
      <c r="L773" s="7" t="str">
        <f t="shared" si="138"/>
        <v xml:space="preserve">MO </v>
      </c>
      <c r="M773" s="7" t="str">
        <f t="shared" si="139"/>
        <v xml:space="preserve">MO </v>
      </c>
      <c r="N773" s="9">
        <f t="shared" si="140"/>
        <v>37.229999999999997</v>
      </c>
      <c r="O773" s="9">
        <f t="shared" si="141"/>
        <v>93.38</v>
      </c>
    </row>
    <row r="774" spans="1:15" x14ac:dyDescent="0.2">
      <c r="A774" s="1" t="s">
        <v>1566</v>
      </c>
      <c r="B774" s="2">
        <v>40.28</v>
      </c>
      <c r="C774" s="2">
        <v>95.53</v>
      </c>
      <c r="D774" s="2" t="s">
        <v>138</v>
      </c>
      <c r="E774" s="2" t="s">
        <v>1567</v>
      </c>
      <c r="H774" s="2" t="s">
        <v>3354</v>
      </c>
      <c r="J774" s="7" t="str">
        <f t="shared" si="132"/>
        <v>St Josep</v>
      </c>
      <c r="K774" s="7" t="str">
        <f t="shared" si="133"/>
        <v xml:space="preserve">,MO </v>
      </c>
      <c r="L774" s="7" t="str">
        <f t="shared" si="138"/>
        <v>,MO</v>
      </c>
      <c r="M774" s="7" t="str">
        <f t="shared" si="139"/>
        <v>MO</v>
      </c>
      <c r="N774" s="9">
        <f t="shared" si="140"/>
        <v>40.28</v>
      </c>
      <c r="O774" s="9">
        <f t="shared" si="141"/>
        <v>95.53</v>
      </c>
    </row>
    <row r="775" spans="1:15" x14ac:dyDescent="0.2">
      <c r="A775" s="1" t="s">
        <v>1568</v>
      </c>
      <c r="B775" s="2">
        <v>38.75</v>
      </c>
      <c r="C775" s="2">
        <v>90.37</v>
      </c>
      <c r="D775" s="2" t="s">
        <v>138</v>
      </c>
      <c r="E775" s="2" t="s">
        <v>1569</v>
      </c>
      <c r="H775" s="2" t="s">
        <v>3870</v>
      </c>
      <c r="J775" s="7" t="str">
        <f t="shared" si="132"/>
        <v>St Louis</v>
      </c>
      <c r="K775" s="7" t="str">
        <f t="shared" si="133"/>
        <v xml:space="preserve">MO  </v>
      </c>
      <c r="L775" s="7" t="str">
        <f t="shared" si="138"/>
        <v xml:space="preserve">MO </v>
      </c>
      <c r="M775" s="7" t="str">
        <f t="shared" si="139"/>
        <v xml:space="preserve">MO </v>
      </c>
      <c r="N775" s="9">
        <f t="shared" si="140"/>
        <v>38.75</v>
      </c>
      <c r="O775" s="9">
        <f t="shared" si="141"/>
        <v>90.37</v>
      </c>
    </row>
    <row r="776" spans="1:15" x14ac:dyDescent="0.2">
      <c r="A776" s="1" t="s">
        <v>1570</v>
      </c>
      <c r="B776" s="2">
        <v>38.65</v>
      </c>
      <c r="C776" s="2">
        <v>90.63</v>
      </c>
      <c r="D776" s="2" t="s">
        <v>1571</v>
      </c>
      <c r="H776" s="2" t="s">
        <v>3355</v>
      </c>
      <c r="J776" s="7" t="str">
        <f t="shared" si="132"/>
        <v>StLouis/Spirit</v>
      </c>
      <c r="K776" s="7" t="str">
        <f t="shared" si="133"/>
        <v xml:space="preserve">MO  </v>
      </c>
      <c r="L776" s="7" t="str">
        <f t="shared" si="138"/>
        <v xml:space="preserve">MO </v>
      </c>
      <c r="M776" s="7" t="str">
        <f t="shared" si="139"/>
        <v xml:space="preserve">MO </v>
      </c>
      <c r="N776" s="9">
        <f t="shared" si="140"/>
        <v>38.65</v>
      </c>
      <c r="O776" s="9">
        <f t="shared" si="141"/>
        <v>90.63</v>
      </c>
    </row>
    <row r="777" spans="1:15" x14ac:dyDescent="0.2">
      <c r="A777" s="1" t="s">
        <v>1572</v>
      </c>
      <c r="B777" s="2">
        <v>38.130000000000003</v>
      </c>
      <c r="C777" s="2">
        <v>91.77</v>
      </c>
      <c r="D777" s="2" t="s">
        <v>1573</v>
      </c>
      <c r="H777" s="2" t="s">
        <v>3356</v>
      </c>
      <c r="J777" s="7" t="str">
        <f t="shared" si="132"/>
        <v>Vichy/Rolla</v>
      </c>
      <c r="K777" s="7" t="str">
        <f t="shared" si="133"/>
        <v xml:space="preserve">MO  </v>
      </c>
      <c r="L777" s="7" t="str">
        <f t="shared" si="138"/>
        <v xml:space="preserve">MO </v>
      </c>
      <c r="M777" s="7" t="str">
        <f t="shared" si="139"/>
        <v xml:space="preserve">MO </v>
      </c>
      <c r="N777" s="9">
        <f t="shared" si="140"/>
        <v>38.130000000000003</v>
      </c>
      <c r="O777" s="9">
        <f t="shared" si="141"/>
        <v>91.77</v>
      </c>
    </row>
    <row r="778" spans="1:15" x14ac:dyDescent="0.2">
      <c r="A778" s="1" t="s">
        <v>1574</v>
      </c>
      <c r="B778" s="2">
        <v>37.22</v>
      </c>
      <c r="C778" s="2">
        <v>92.42</v>
      </c>
      <c r="D778" s="2" t="s">
        <v>55</v>
      </c>
      <c r="E778" s="2" t="s">
        <v>1575</v>
      </c>
      <c r="H778" s="2" t="s">
        <v>3357</v>
      </c>
      <c r="J778" s="7" t="str">
        <f t="shared" si="132"/>
        <v>West Plain</v>
      </c>
      <c r="K778" s="7" t="str">
        <f t="shared" si="133"/>
        <v xml:space="preserve">,MO </v>
      </c>
      <c r="L778" s="7" t="str">
        <f t="shared" si="138"/>
        <v>,MO</v>
      </c>
      <c r="M778" s="7" t="str">
        <f t="shared" si="139"/>
        <v>MO</v>
      </c>
      <c r="N778" s="9">
        <f t="shared" si="140"/>
        <v>37.22</v>
      </c>
      <c r="O778" s="9">
        <f t="shared" si="141"/>
        <v>92.42</v>
      </c>
    </row>
    <row r="779" spans="1:15" x14ac:dyDescent="0.2">
      <c r="A779" s="1" t="s">
        <v>1576</v>
      </c>
      <c r="B779" s="2">
        <v>36.880000000000003</v>
      </c>
      <c r="C779" s="2">
        <v>91.9</v>
      </c>
      <c r="D779" s="2" t="s">
        <v>55</v>
      </c>
      <c r="E779" s="2" t="s">
        <v>1575</v>
      </c>
      <c r="H779" s="2" t="s">
        <v>3357</v>
      </c>
      <c r="J779" s="7" t="str">
        <f t="shared" si="132"/>
        <v>West Plain</v>
      </c>
      <c r="K779" s="7" t="str">
        <f t="shared" si="133"/>
        <v xml:space="preserve">,MO </v>
      </c>
      <c r="L779" s="7" t="str">
        <f t="shared" si="138"/>
        <v>,MO</v>
      </c>
      <c r="M779" s="7" t="str">
        <f t="shared" si="139"/>
        <v>MO</v>
      </c>
      <c r="N779" s="9">
        <f t="shared" si="140"/>
        <v>36.880000000000003</v>
      </c>
      <c r="O779" s="9">
        <f t="shared" si="141"/>
        <v>91.9</v>
      </c>
    </row>
    <row r="780" spans="1:15" x14ac:dyDescent="0.2">
      <c r="A780" s="1" t="s">
        <v>1577</v>
      </c>
      <c r="B780" s="2">
        <v>38.729999999999997</v>
      </c>
      <c r="C780" s="2">
        <v>93.55</v>
      </c>
      <c r="D780" s="2" t="s">
        <v>1578</v>
      </c>
      <c r="E780" s="2" t="s">
        <v>1579</v>
      </c>
      <c r="H780" s="2" t="s">
        <v>3358</v>
      </c>
      <c r="J780" s="7" t="str">
        <f t="shared" si="132"/>
        <v>Whiteman AF</v>
      </c>
      <c r="K780" s="7" t="str">
        <f t="shared" si="133"/>
        <v xml:space="preserve">,MO </v>
      </c>
      <c r="L780" s="7" t="str">
        <f t="shared" si="138"/>
        <v>,MO</v>
      </c>
      <c r="M780" s="7" t="str">
        <f t="shared" si="139"/>
        <v>MO</v>
      </c>
      <c r="N780" s="9">
        <f t="shared" si="140"/>
        <v>38.729999999999997</v>
      </c>
      <c r="O780" s="9">
        <f t="shared" si="141"/>
        <v>93.55</v>
      </c>
    </row>
    <row r="781" spans="1:15" x14ac:dyDescent="0.2">
      <c r="A781" s="4"/>
      <c r="H781" s="2" t="s">
        <v>2726</v>
      </c>
      <c r="J781" s="7"/>
      <c r="K781" s="7"/>
      <c r="L781" s="7"/>
      <c r="M781" s="7"/>
      <c r="N781" s="9"/>
      <c r="O781" s="9"/>
    </row>
    <row r="782" spans="1:15" x14ac:dyDescent="0.2">
      <c r="A782" s="1" t="s">
        <v>25</v>
      </c>
      <c r="H782" s="2" t="s">
        <v>2726</v>
      </c>
      <c r="J782" s="7"/>
      <c r="K782" s="7"/>
      <c r="L782" s="7"/>
      <c r="M782" s="7"/>
      <c r="N782" s="9"/>
      <c r="O782" s="9"/>
    </row>
    <row r="783" spans="1:15" x14ac:dyDescent="0.2">
      <c r="A783" s="4"/>
      <c r="H783" s="2" t="s">
        <v>2726</v>
      </c>
      <c r="J783" s="7"/>
      <c r="K783" s="7"/>
      <c r="L783" s="7"/>
      <c r="M783" s="7"/>
      <c r="N783" s="9"/>
      <c r="O783" s="9"/>
    </row>
    <row r="784" spans="1:15" x14ac:dyDescent="0.2">
      <c r="A784" s="1" t="s">
        <v>1580</v>
      </c>
      <c r="B784" s="2">
        <v>45.8</v>
      </c>
      <c r="C784" s="2">
        <v>108.53</v>
      </c>
      <c r="D784" s="2" t="s">
        <v>1581</v>
      </c>
      <c r="H784" s="2" t="s">
        <v>3359</v>
      </c>
      <c r="J784" s="7" t="str">
        <f t="shared" si="132"/>
        <v>Billings</v>
      </c>
      <c r="K784" s="7" t="str">
        <f t="shared" si="133"/>
        <v xml:space="preserve">MT  </v>
      </c>
      <c r="L784" s="7" t="str">
        <f t="shared" ref="L784:L809" si="142">LEFT(K784,LEN(K784)-1)</f>
        <v xml:space="preserve">MT </v>
      </c>
      <c r="M784" s="7" t="str">
        <f t="shared" ref="M784:M809" si="143">SUBSTITUTE(L784,",","")</f>
        <v xml:space="preserve">MT </v>
      </c>
      <c r="N784" s="9">
        <f t="shared" ref="N784:N809" si="144">B784</f>
        <v>45.8</v>
      </c>
      <c r="O784" s="9">
        <f t="shared" ref="O784:O809" si="145">C784</f>
        <v>108.53</v>
      </c>
    </row>
    <row r="785" spans="1:15" x14ac:dyDescent="0.2">
      <c r="A785" s="1" t="s">
        <v>1582</v>
      </c>
      <c r="B785" s="2">
        <v>45.78</v>
      </c>
      <c r="C785" s="2">
        <v>111.15</v>
      </c>
      <c r="D785" s="2" t="s">
        <v>1583</v>
      </c>
      <c r="H785" s="2" t="s">
        <v>3360</v>
      </c>
      <c r="J785" s="7" t="str">
        <f t="shared" si="132"/>
        <v>Bozeman</v>
      </c>
      <c r="K785" s="7" t="str">
        <f t="shared" si="133"/>
        <v xml:space="preserve">MT  </v>
      </c>
      <c r="L785" s="7" t="str">
        <f t="shared" si="142"/>
        <v xml:space="preserve">MT </v>
      </c>
      <c r="M785" s="7" t="str">
        <f t="shared" si="143"/>
        <v xml:space="preserve">MT </v>
      </c>
      <c r="N785" s="9">
        <f t="shared" si="144"/>
        <v>45.78</v>
      </c>
      <c r="O785" s="9">
        <f t="shared" si="145"/>
        <v>111.15</v>
      </c>
    </row>
    <row r="786" spans="1:15" x14ac:dyDescent="0.2">
      <c r="A786" s="1" t="s">
        <v>1584</v>
      </c>
      <c r="B786" s="2">
        <v>45.67</v>
      </c>
      <c r="C786" s="2">
        <v>105.67</v>
      </c>
      <c r="D786" s="2" t="s">
        <v>1585</v>
      </c>
      <c r="H786" s="2" t="s">
        <v>3361</v>
      </c>
      <c r="J786" s="7" t="str">
        <f t="shared" si="132"/>
        <v>Broadus</v>
      </c>
      <c r="K786" s="7" t="str">
        <f t="shared" si="133"/>
        <v xml:space="preserve">MT  </v>
      </c>
      <c r="L786" s="7" t="str">
        <f t="shared" si="142"/>
        <v xml:space="preserve">MT </v>
      </c>
      <c r="M786" s="7" t="str">
        <f t="shared" si="143"/>
        <v xml:space="preserve">MT </v>
      </c>
      <c r="N786" s="9">
        <f t="shared" si="144"/>
        <v>45.67</v>
      </c>
      <c r="O786" s="9">
        <f t="shared" si="145"/>
        <v>105.67</v>
      </c>
    </row>
    <row r="787" spans="1:15" x14ac:dyDescent="0.2">
      <c r="A787" s="1" t="s">
        <v>1586</v>
      </c>
      <c r="B787" s="2">
        <v>45.95</v>
      </c>
      <c r="C787" s="2">
        <v>112.5</v>
      </c>
      <c r="D787" s="2" t="s">
        <v>1587</v>
      </c>
      <c r="H787" s="2" t="s">
        <v>3362</v>
      </c>
      <c r="J787" s="7" t="str">
        <f t="shared" si="132"/>
        <v>Butte</v>
      </c>
      <c r="K787" s="7" t="str">
        <f t="shared" si="133"/>
        <v xml:space="preserve">MT  </v>
      </c>
      <c r="L787" s="7" t="str">
        <f t="shared" si="142"/>
        <v xml:space="preserve">MT </v>
      </c>
      <c r="M787" s="7" t="str">
        <f t="shared" si="143"/>
        <v xml:space="preserve">MT </v>
      </c>
      <c r="N787" s="9">
        <f t="shared" si="144"/>
        <v>45.95</v>
      </c>
      <c r="O787" s="9">
        <f t="shared" si="145"/>
        <v>112.5</v>
      </c>
    </row>
    <row r="788" spans="1:15" x14ac:dyDescent="0.2">
      <c r="A788" s="1" t="s">
        <v>1588</v>
      </c>
      <c r="B788" s="2">
        <v>48.6</v>
      </c>
      <c r="C788" s="2">
        <v>112.37</v>
      </c>
      <c r="D788" s="2" t="s">
        <v>1589</v>
      </c>
      <c r="E788" s="2" t="s">
        <v>1590</v>
      </c>
      <c r="H788" s="2" t="s">
        <v>3363</v>
      </c>
      <c r="J788" s="7" t="str">
        <f t="shared" si="132"/>
        <v>Cut Ban</v>
      </c>
      <c r="K788" s="7" t="str">
        <f t="shared" si="133"/>
        <v xml:space="preserve">,MT </v>
      </c>
      <c r="L788" s="7" t="str">
        <f t="shared" si="142"/>
        <v>,MT</v>
      </c>
      <c r="M788" s="7" t="str">
        <f t="shared" si="143"/>
        <v>MT</v>
      </c>
      <c r="N788" s="9">
        <f t="shared" si="144"/>
        <v>48.6</v>
      </c>
      <c r="O788" s="9">
        <f t="shared" si="145"/>
        <v>112.37</v>
      </c>
    </row>
    <row r="789" spans="1:15" x14ac:dyDescent="0.2">
      <c r="A789" s="1" t="s">
        <v>1591</v>
      </c>
      <c r="B789" s="2">
        <v>45.25</v>
      </c>
      <c r="C789" s="2">
        <v>112.55</v>
      </c>
      <c r="D789" s="2" t="s">
        <v>1592</v>
      </c>
      <c r="H789" s="2" t="s">
        <v>3364</v>
      </c>
      <c r="J789" s="7" t="str">
        <f t="shared" si="132"/>
        <v>Dillon</v>
      </c>
      <c r="K789" s="7" t="str">
        <f t="shared" si="133"/>
        <v xml:space="preserve">MT  </v>
      </c>
      <c r="L789" s="7" t="str">
        <f t="shared" si="142"/>
        <v xml:space="preserve">MT </v>
      </c>
      <c r="M789" s="7" t="str">
        <f t="shared" si="143"/>
        <v xml:space="preserve">MT </v>
      </c>
      <c r="N789" s="9">
        <f t="shared" si="144"/>
        <v>45.25</v>
      </c>
      <c r="O789" s="9">
        <f t="shared" si="145"/>
        <v>112.55</v>
      </c>
    </row>
    <row r="790" spans="1:15" x14ac:dyDescent="0.2">
      <c r="A790" s="1" t="s">
        <v>1593</v>
      </c>
      <c r="B790" s="2">
        <v>46.67</v>
      </c>
      <c r="C790" s="2">
        <v>113.15</v>
      </c>
      <c r="D790" s="2" t="s">
        <v>1594</v>
      </c>
      <c r="H790" s="2" t="s">
        <v>3365</v>
      </c>
      <c r="J790" s="7" t="str">
        <f t="shared" ref="J790:J853" si="146">LEFT(H790,LEN(H790)-5)</f>
        <v>Drummond</v>
      </c>
      <c r="K790" s="7" t="str">
        <f t="shared" ref="K790:K853" si="147">RIGHT(H790,4)</f>
        <v xml:space="preserve">MT  </v>
      </c>
      <c r="L790" s="7" t="str">
        <f t="shared" si="142"/>
        <v xml:space="preserve">MT </v>
      </c>
      <c r="M790" s="7" t="str">
        <f t="shared" si="143"/>
        <v xml:space="preserve">MT </v>
      </c>
      <c r="N790" s="9">
        <f t="shared" si="144"/>
        <v>46.67</v>
      </c>
      <c r="O790" s="9">
        <f t="shared" si="145"/>
        <v>113.15</v>
      </c>
    </row>
    <row r="791" spans="1:15" x14ac:dyDescent="0.2">
      <c r="A791" s="1" t="s">
        <v>1595</v>
      </c>
      <c r="B791" s="2">
        <v>48.22</v>
      </c>
      <c r="C791" s="2">
        <v>106.62</v>
      </c>
      <c r="D791" s="2" t="s">
        <v>1596</v>
      </c>
      <c r="H791" s="2" t="s">
        <v>3366</v>
      </c>
      <c r="J791" s="7" t="str">
        <f t="shared" si="146"/>
        <v>Glasgow</v>
      </c>
      <c r="K791" s="7" t="str">
        <f t="shared" si="147"/>
        <v xml:space="preserve">MT  </v>
      </c>
      <c r="L791" s="7" t="str">
        <f t="shared" si="142"/>
        <v xml:space="preserve">MT </v>
      </c>
      <c r="M791" s="7" t="str">
        <f t="shared" si="143"/>
        <v xml:space="preserve">MT </v>
      </c>
      <c r="N791" s="9">
        <f t="shared" si="144"/>
        <v>48.22</v>
      </c>
      <c r="O791" s="9">
        <f t="shared" si="145"/>
        <v>106.62</v>
      </c>
    </row>
    <row r="792" spans="1:15" x14ac:dyDescent="0.2">
      <c r="A792" s="1" t="s">
        <v>1597</v>
      </c>
      <c r="B792" s="2">
        <v>47.13</v>
      </c>
      <c r="C792" s="2">
        <v>104.8</v>
      </c>
      <c r="D792" s="2" t="s">
        <v>1598</v>
      </c>
      <c r="H792" s="2" t="s">
        <v>3367</v>
      </c>
      <c r="J792" s="7" t="str">
        <f t="shared" si="146"/>
        <v>Glendive</v>
      </c>
      <c r="K792" s="7" t="str">
        <f t="shared" si="147"/>
        <v xml:space="preserve">MT  </v>
      </c>
      <c r="L792" s="7" t="str">
        <f t="shared" si="142"/>
        <v xml:space="preserve">MT </v>
      </c>
      <c r="M792" s="7" t="str">
        <f t="shared" si="143"/>
        <v xml:space="preserve">MT </v>
      </c>
      <c r="N792" s="9">
        <f t="shared" si="144"/>
        <v>47.13</v>
      </c>
      <c r="O792" s="9">
        <f t="shared" si="145"/>
        <v>104.8</v>
      </c>
    </row>
    <row r="793" spans="1:15" x14ac:dyDescent="0.2">
      <c r="A793" s="1" t="s">
        <v>1599</v>
      </c>
      <c r="B793" s="2">
        <v>47.48</v>
      </c>
      <c r="C793" s="2">
        <v>111.37</v>
      </c>
      <c r="D793" s="2" t="s">
        <v>1600</v>
      </c>
      <c r="E793" s="2" t="s">
        <v>1601</v>
      </c>
      <c r="H793" s="2" t="s">
        <v>3368</v>
      </c>
      <c r="J793" s="7" t="str">
        <f t="shared" si="146"/>
        <v>Great Fall</v>
      </c>
      <c r="K793" s="7" t="str">
        <f t="shared" si="147"/>
        <v xml:space="preserve">,MT </v>
      </c>
      <c r="L793" s="7" t="str">
        <f t="shared" si="142"/>
        <v>,MT</v>
      </c>
      <c r="M793" s="7" t="str">
        <f t="shared" si="143"/>
        <v>MT</v>
      </c>
      <c r="N793" s="9">
        <f t="shared" si="144"/>
        <v>47.48</v>
      </c>
      <c r="O793" s="9">
        <f t="shared" si="145"/>
        <v>111.37</v>
      </c>
    </row>
    <row r="794" spans="1:15" x14ac:dyDescent="0.2">
      <c r="A794" s="1" t="s">
        <v>1602</v>
      </c>
      <c r="B794" s="2">
        <v>46.43</v>
      </c>
      <c r="C794" s="2">
        <v>109.83</v>
      </c>
      <c r="D794" s="2" t="s">
        <v>1603</v>
      </c>
      <c r="H794" s="2" t="s">
        <v>3369</v>
      </c>
      <c r="J794" s="7" t="str">
        <f t="shared" si="146"/>
        <v>Harlowton</v>
      </c>
      <c r="K794" s="7" t="str">
        <f t="shared" si="147"/>
        <v xml:space="preserve">MT  </v>
      </c>
      <c r="L794" s="7" t="str">
        <f t="shared" si="142"/>
        <v xml:space="preserve">MT </v>
      </c>
      <c r="M794" s="7" t="str">
        <f t="shared" si="143"/>
        <v xml:space="preserve">MT </v>
      </c>
      <c r="N794" s="9">
        <f t="shared" si="144"/>
        <v>46.43</v>
      </c>
      <c r="O794" s="9">
        <f t="shared" si="145"/>
        <v>109.83</v>
      </c>
    </row>
    <row r="795" spans="1:15" x14ac:dyDescent="0.2">
      <c r="A795" s="1" t="s">
        <v>1604</v>
      </c>
      <c r="B795" s="2">
        <v>48.55</v>
      </c>
      <c r="C795" s="2">
        <v>109.77</v>
      </c>
      <c r="D795" s="2" t="s">
        <v>1605</v>
      </c>
      <c r="H795" s="2" t="s">
        <v>3370</v>
      </c>
      <c r="J795" s="7" t="str">
        <f t="shared" si="146"/>
        <v>Havre</v>
      </c>
      <c r="K795" s="7" t="str">
        <f t="shared" si="147"/>
        <v xml:space="preserve">MT  </v>
      </c>
      <c r="L795" s="7" t="str">
        <f t="shared" si="142"/>
        <v xml:space="preserve">MT </v>
      </c>
      <c r="M795" s="7" t="str">
        <f t="shared" si="143"/>
        <v xml:space="preserve">MT </v>
      </c>
      <c r="N795" s="9">
        <f t="shared" si="144"/>
        <v>48.55</v>
      </c>
      <c r="O795" s="9">
        <f t="shared" si="145"/>
        <v>109.77</v>
      </c>
    </row>
    <row r="796" spans="1:15" x14ac:dyDescent="0.2">
      <c r="A796" s="1" t="s">
        <v>1606</v>
      </c>
      <c r="B796" s="2">
        <v>46.6</v>
      </c>
      <c r="C796" s="2">
        <v>112</v>
      </c>
      <c r="D796" s="2" t="s">
        <v>1607</v>
      </c>
      <c r="H796" s="2" t="s">
        <v>3371</v>
      </c>
      <c r="J796" s="7" t="str">
        <f t="shared" si="146"/>
        <v>Helena</v>
      </c>
      <c r="K796" s="7" t="str">
        <f t="shared" si="147"/>
        <v xml:space="preserve">MT  </v>
      </c>
      <c r="L796" s="7" t="str">
        <f t="shared" si="142"/>
        <v xml:space="preserve">MT </v>
      </c>
      <c r="M796" s="7" t="str">
        <f t="shared" si="143"/>
        <v xml:space="preserve">MT </v>
      </c>
      <c r="N796" s="9">
        <f t="shared" si="144"/>
        <v>46.6</v>
      </c>
      <c r="O796" s="9">
        <f t="shared" si="145"/>
        <v>112</v>
      </c>
    </row>
    <row r="797" spans="1:15" x14ac:dyDescent="0.2">
      <c r="A797" s="1" t="s">
        <v>1608</v>
      </c>
      <c r="B797" s="2">
        <v>47.33</v>
      </c>
      <c r="C797" s="2">
        <v>106.93</v>
      </c>
      <c r="D797" s="2" t="s">
        <v>1609</v>
      </c>
      <c r="H797" s="2" t="s">
        <v>3372</v>
      </c>
      <c r="J797" s="7" t="str">
        <f t="shared" si="146"/>
        <v>Jordan</v>
      </c>
      <c r="K797" s="7" t="str">
        <f t="shared" si="147"/>
        <v xml:space="preserve">MT  </v>
      </c>
      <c r="L797" s="7" t="str">
        <f t="shared" si="142"/>
        <v xml:space="preserve">MT </v>
      </c>
      <c r="M797" s="7" t="str">
        <f t="shared" si="143"/>
        <v xml:space="preserve">MT </v>
      </c>
      <c r="N797" s="9">
        <f t="shared" si="144"/>
        <v>47.33</v>
      </c>
      <c r="O797" s="9">
        <f t="shared" si="145"/>
        <v>106.93</v>
      </c>
    </row>
    <row r="798" spans="1:15" x14ac:dyDescent="0.2">
      <c r="A798" s="1" t="s">
        <v>1610</v>
      </c>
      <c r="B798" s="2">
        <v>48.3</v>
      </c>
      <c r="C798" s="2">
        <v>114.27</v>
      </c>
      <c r="D798" s="2" t="s">
        <v>1611</v>
      </c>
      <c r="H798" s="2" t="s">
        <v>3373</v>
      </c>
      <c r="J798" s="7" t="str">
        <f t="shared" si="146"/>
        <v>Kalispell</v>
      </c>
      <c r="K798" s="7" t="str">
        <f t="shared" si="147"/>
        <v xml:space="preserve">MT  </v>
      </c>
      <c r="L798" s="7" t="str">
        <f t="shared" si="142"/>
        <v xml:space="preserve">MT </v>
      </c>
      <c r="M798" s="7" t="str">
        <f t="shared" si="143"/>
        <v xml:space="preserve">MT </v>
      </c>
      <c r="N798" s="9">
        <f t="shared" si="144"/>
        <v>48.3</v>
      </c>
      <c r="O798" s="9">
        <f t="shared" si="145"/>
        <v>114.27</v>
      </c>
    </row>
    <row r="799" spans="1:15" x14ac:dyDescent="0.2">
      <c r="A799" s="1" t="s">
        <v>1612</v>
      </c>
      <c r="B799" s="2">
        <v>47.05</v>
      </c>
      <c r="C799" s="2">
        <v>109.45</v>
      </c>
      <c r="D799" s="2" t="s">
        <v>1613</v>
      </c>
      <c r="H799" s="2" t="s">
        <v>3374</v>
      </c>
      <c r="J799" s="7" t="str">
        <f t="shared" si="146"/>
        <v>Lewiston</v>
      </c>
      <c r="K799" s="7" t="str">
        <f t="shared" si="147"/>
        <v xml:space="preserve">MT  </v>
      </c>
      <c r="L799" s="7" t="str">
        <f t="shared" si="142"/>
        <v xml:space="preserve">MT </v>
      </c>
      <c r="M799" s="7" t="str">
        <f t="shared" si="143"/>
        <v xml:space="preserve">MT </v>
      </c>
      <c r="N799" s="9">
        <f t="shared" si="144"/>
        <v>47.05</v>
      </c>
      <c r="O799" s="9">
        <f t="shared" si="145"/>
        <v>109.45</v>
      </c>
    </row>
    <row r="800" spans="1:15" x14ac:dyDescent="0.2">
      <c r="A800" s="1" t="s">
        <v>1614</v>
      </c>
      <c r="B800" s="2">
        <v>45.7</v>
      </c>
      <c r="C800" s="2">
        <v>110.43</v>
      </c>
      <c r="D800" s="2" t="s">
        <v>1615</v>
      </c>
      <c r="H800" s="2" t="s">
        <v>3375</v>
      </c>
      <c r="J800" s="7" t="str">
        <f t="shared" si="146"/>
        <v>Livingston</v>
      </c>
      <c r="K800" s="7" t="str">
        <f t="shared" si="147"/>
        <v xml:space="preserve">MT  </v>
      </c>
      <c r="L800" s="7" t="str">
        <f t="shared" si="142"/>
        <v xml:space="preserve">MT </v>
      </c>
      <c r="M800" s="7" t="str">
        <f t="shared" si="143"/>
        <v xml:space="preserve">MT </v>
      </c>
      <c r="N800" s="9">
        <f t="shared" si="144"/>
        <v>45.7</v>
      </c>
      <c r="O800" s="9">
        <f t="shared" si="145"/>
        <v>110.43</v>
      </c>
    </row>
    <row r="801" spans="1:15" x14ac:dyDescent="0.2">
      <c r="A801" s="1" t="s">
        <v>1616</v>
      </c>
      <c r="B801" s="2">
        <v>47.5</v>
      </c>
      <c r="C801" s="2">
        <v>111.18</v>
      </c>
      <c r="D801" s="2" t="s">
        <v>1617</v>
      </c>
      <c r="H801" s="2" t="s">
        <v>3376</v>
      </c>
      <c r="J801" s="7" t="str">
        <f t="shared" si="146"/>
        <v>Malmstrom</v>
      </c>
      <c r="K801" s="7" t="str">
        <f t="shared" si="147"/>
        <v xml:space="preserve">MT  </v>
      </c>
      <c r="L801" s="7" t="str">
        <f t="shared" si="142"/>
        <v xml:space="preserve">MT </v>
      </c>
      <c r="M801" s="7" t="str">
        <f t="shared" si="143"/>
        <v xml:space="preserve">MT </v>
      </c>
      <c r="N801" s="9">
        <f t="shared" si="144"/>
        <v>47.5</v>
      </c>
      <c r="O801" s="9">
        <f t="shared" si="145"/>
        <v>111.18</v>
      </c>
    </row>
    <row r="802" spans="1:15" x14ac:dyDescent="0.2">
      <c r="A802" s="1" t="s">
        <v>1618</v>
      </c>
      <c r="B802" s="2">
        <v>46.43</v>
      </c>
      <c r="C802" s="2">
        <v>105.87</v>
      </c>
      <c r="D802" s="2" t="s">
        <v>1619</v>
      </c>
      <c r="E802" s="2" t="s">
        <v>1620</v>
      </c>
      <c r="H802" s="2" t="s">
        <v>3377</v>
      </c>
      <c r="J802" s="7" t="str">
        <f t="shared" si="146"/>
        <v>Miles Cit</v>
      </c>
      <c r="K802" s="7" t="str">
        <f t="shared" si="147"/>
        <v xml:space="preserve">,MT </v>
      </c>
      <c r="L802" s="7" t="str">
        <f t="shared" si="142"/>
        <v>,MT</v>
      </c>
      <c r="M802" s="7" t="str">
        <f t="shared" si="143"/>
        <v>MT</v>
      </c>
      <c r="N802" s="9">
        <f t="shared" si="144"/>
        <v>46.43</v>
      </c>
      <c r="O802" s="9">
        <f t="shared" si="145"/>
        <v>105.87</v>
      </c>
    </row>
    <row r="803" spans="1:15" x14ac:dyDescent="0.2">
      <c r="A803" s="1" t="s">
        <v>1621</v>
      </c>
      <c r="B803" s="2">
        <v>46.92</v>
      </c>
      <c r="C803" s="2">
        <v>114.08</v>
      </c>
      <c r="D803" s="2" t="s">
        <v>1622</v>
      </c>
      <c r="H803" s="2" t="s">
        <v>3378</v>
      </c>
      <c r="J803" s="7" t="str">
        <f t="shared" si="146"/>
        <v>Missoula</v>
      </c>
      <c r="K803" s="7" t="str">
        <f t="shared" si="147"/>
        <v xml:space="preserve">MT  </v>
      </c>
      <c r="L803" s="7" t="str">
        <f t="shared" si="142"/>
        <v xml:space="preserve">MT </v>
      </c>
      <c r="M803" s="7" t="str">
        <f t="shared" si="143"/>
        <v xml:space="preserve">MT </v>
      </c>
      <c r="N803" s="9">
        <f t="shared" si="144"/>
        <v>46.92</v>
      </c>
      <c r="O803" s="9">
        <f t="shared" si="145"/>
        <v>114.08</v>
      </c>
    </row>
    <row r="804" spans="1:15" x14ac:dyDescent="0.2">
      <c r="A804" s="1" t="s">
        <v>1623</v>
      </c>
      <c r="B804" s="2">
        <v>44.57</v>
      </c>
      <c r="C804" s="2">
        <v>112.32</v>
      </c>
      <c r="D804" s="2" t="s">
        <v>1624</v>
      </c>
      <c r="H804" s="2" t="s">
        <v>3379</v>
      </c>
      <c r="J804" s="7" t="str">
        <f t="shared" si="146"/>
        <v>Monida</v>
      </c>
      <c r="K804" s="7" t="str">
        <f t="shared" si="147"/>
        <v xml:space="preserve">MT  </v>
      </c>
      <c r="L804" s="7" t="str">
        <f t="shared" si="142"/>
        <v xml:space="preserve">MT </v>
      </c>
      <c r="M804" s="7" t="str">
        <f t="shared" si="143"/>
        <v xml:space="preserve">MT </v>
      </c>
      <c r="N804" s="9">
        <f t="shared" si="144"/>
        <v>44.57</v>
      </c>
      <c r="O804" s="9">
        <f t="shared" si="145"/>
        <v>112.32</v>
      </c>
    </row>
    <row r="805" spans="1:15" x14ac:dyDescent="0.2">
      <c r="A805" s="1" t="s">
        <v>1625</v>
      </c>
      <c r="B805" s="2">
        <v>47.72</v>
      </c>
      <c r="C805" s="2">
        <v>104.18</v>
      </c>
      <c r="D805" s="2" t="s">
        <v>1626</v>
      </c>
      <c r="H805" s="2" t="s">
        <v>3380</v>
      </c>
      <c r="J805" s="7" t="str">
        <f t="shared" si="146"/>
        <v>Sidney</v>
      </c>
      <c r="K805" s="7" t="str">
        <f t="shared" si="147"/>
        <v xml:space="preserve">MT  </v>
      </c>
      <c r="L805" s="7" t="str">
        <f t="shared" si="142"/>
        <v xml:space="preserve">MT </v>
      </c>
      <c r="M805" s="7" t="str">
        <f t="shared" si="143"/>
        <v xml:space="preserve">MT </v>
      </c>
      <c r="N805" s="9">
        <f t="shared" si="144"/>
        <v>47.72</v>
      </c>
      <c r="O805" s="9">
        <f t="shared" si="145"/>
        <v>104.18</v>
      </c>
    </row>
    <row r="806" spans="1:15" x14ac:dyDescent="0.2">
      <c r="A806" s="1" t="s">
        <v>1627</v>
      </c>
      <c r="B806" s="2">
        <v>47.6</v>
      </c>
      <c r="C806" s="2">
        <v>115.37</v>
      </c>
      <c r="D806" s="2" t="s">
        <v>1628</v>
      </c>
      <c r="E806" s="2" t="s">
        <v>1629</v>
      </c>
      <c r="H806" s="2" t="s">
        <v>3381</v>
      </c>
      <c r="J806" s="7" t="str">
        <f t="shared" si="146"/>
        <v>Thompson Fa</v>
      </c>
      <c r="K806" s="7" t="str">
        <f t="shared" si="147"/>
        <v xml:space="preserve">,MT </v>
      </c>
      <c r="L806" s="7" t="str">
        <f t="shared" si="142"/>
        <v>,MT</v>
      </c>
      <c r="M806" s="7" t="str">
        <f t="shared" si="143"/>
        <v>MT</v>
      </c>
      <c r="N806" s="9">
        <f t="shared" si="144"/>
        <v>47.6</v>
      </c>
      <c r="O806" s="9">
        <f t="shared" si="145"/>
        <v>115.37</v>
      </c>
    </row>
    <row r="807" spans="1:15" x14ac:dyDescent="0.2">
      <c r="A807" s="1" t="s">
        <v>1630</v>
      </c>
      <c r="B807" s="2">
        <v>44.65</v>
      </c>
      <c r="C807" s="2">
        <v>111.1</v>
      </c>
      <c r="D807" s="2" t="s">
        <v>880</v>
      </c>
      <c r="E807" s="2" t="s">
        <v>1631</v>
      </c>
      <c r="H807" s="2" t="s">
        <v>3382</v>
      </c>
      <c r="J807" s="7" t="str">
        <f t="shared" si="146"/>
        <v>W Yellowsto</v>
      </c>
      <c r="K807" s="7" t="str">
        <f t="shared" si="147"/>
        <v xml:space="preserve">,MT </v>
      </c>
      <c r="L807" s="7" t="str">
        <f t="shared" si="142"/>
        <v>,MT</v>
      </c>
      <c r="M807" s="7" t="str">
        <f t="shared" si="143"/>
        <v>MT</v>
      </c>
      <c r="N807" s="9">
        <f t="shared" si="144"/>
        <v>44.65</v>
      </c>
      <c r="O807" s="9">
        <f t="shared" si="145"/>
        <v>111.1</v>
      </c>
    </row>
    <row r="808" spans="1:15" x14ac:dyDescent="0.2">
      <c r="A808" s="1" t="s">
        <v>1632</v>
      </c>
      <c r="B808" s="2">
        <v>44.68</v>
      </c>
      <c r="C808" s="2">
        <v>111.12</v>
      </c>
      <c r="D808" s="2" t="s">
        <v>880</v>
      </c>
      <c r="E808" s="2" t="s">
        <v>1631</v>
      </c>
      <c r="H808" s="2" t="s">
        <v>3382</v>
      </c>
      <c r="J808" s="7" t="str">
        <f t="shared" si="146"/>
        <v>W Yellowsto</v>
      </c>
      <c r="K808" s="7" t="str">
        <f t="shared" si="147"/>
        <v xml:space="preserve">,MT </v>
      </c>
      <c r="L808" s="7" t="str">
        <f t="shared" si="142"/>
        <v>,MT</v>
      </c>
      <c r="M808" s="7" t="str">
        <f t="shared" si="143"/>
        <v>MT</v>
      </c>
      <c r="N808" s="9">
        <f t="shared" si="144"/>
        <v>44.68</v>
      </c>
      <c r="O808" s="9">
        <f t="shared" si="145"/>
        <v>111.12</v>
      </c>
    </row>
    <row r="809" spans="1:15" x14ac:dyDescent="0.2">
      <c r="A809" s="1" t="s">
        <v>1633</v>
      </c>
      <c r="B809" s="2">
        <v>48.1</v>
      </c>
      <c r="C809" s="2">
        <v>105.58</v>
      </c>
      <c r="D809" s="2" t="s">
        <v>1634</v>
      </c>
      <c r="E809" s="2" t="s">
        <v>1635</v>
      </c>
      <c r="H809" s="2" t="s">
        <v>3383</v>
      </c>
      <c r="J809" s="7" t="str">
        <f t="shared" si="146"/>
        <v>Wolf Poin</v>
      </c>
      <c r="K809" s="7" t="str">
        <f t="shared" si="147"/>
        <v xml:space="preserve">,MT </v>
      </c>
      <c r="L809" s="7" t="str">
        <f t="shared" si="142"/>
        <v>,MT</v>
      </c>
      <c r="M809" s="7" t="str">
        <f t="shared" si="143"/>
        <v>MT</v>
      </c>
      <c r="N809" s="9">
        <f t="shared" si="144"/>
        <v>48.1</v>
      </c>
      <c r="O809" s="9">
        <f t="shared" si="145"/>
        <v>105.58</v>
      </c>
    </row>
    <row r="810" spans="1:15" x14ac:dyDescent="0.2">
      <c r="A810" s="4"/>
      <c r="H810" s="2" t="s">
        <v>2726</v>
      </c>
      <c r="J810" s="7"/>
      <c r="K810" s="7"/>
      <c r="L810" s="7"/>
      <c r="M810" s="7"/>
      <c r="N810" s="9"/>
      <c r="O810" s="9"/>
    </row>
    <row r="811" spans="1:15" x14ac:dyDescent="0.2">
      <c r="A811" s="1" t="s">
        <v>26</v>
      </c>
      <c r="H811" s="2" t="s">
        <v>2726</v>
      </c>
      <c r="J811" s="7"/>
      <c r="K811" s="7"/>
      <c r="L811" s="7"/>
      <c r="M811" s="7"/>
      <c r="N811" s="9"/>
      <c r="O811" s="9"/>
    </row>
    <row r="812" spans="1:15" x14ac:dyDescent="0.2">
      <c r="A812" s="4"/>
      <c r="H812" s="2" t="s">
        <v>2726</v>
      </c>
      <c r="J812" s="7"/>
      <c r="K812" s="7"/>
      <c r="L812" s="7"/>
      <c r="M812" s="7"/>
      <c r="N812" s="9"/>
      <c r="O812" s="9"/>
    </row>
    <row r="813" spans="1:15" x14ac:dyDescent="0.2">
      <c r="A813" s="1" t="s">
        <v>1636</v>
      </c>
      <c r="B813" s="2">
        <v>42.58</v>
      </c>
      <c r="C813" s="2">
        <v>99.98</v>
      </c>
      <c r="D813" s="2" t="s">
        <v>1637</v>
      </c>
      <c r="H813" s="2" t="s">
        <v>3384</v>
      </c>
      <c r="J813" s="7" t="str">
        <f t="shared" si="146"/>
        <v>Ainsworth</v>
      </c>
      <c r="K813" s="7" t="str">
        <f t="shared" si="147"/>
        <v xml:space="preserve">NE  </v>
      </c>
      <c r="L813" s="7" t="str">
        <f t="shared" ref="L813:L839" si="148">LEFT(K813,LEN(K813)-1)</f>
        <v xml:space="preserve">NE </v>
      </c>
      <c r="M813" s="7" t="str">
        <f t="shared" ref="M813:M839" si="149">SUBSTITUTE(L813,",","")</f>
        <v xml:space="preserve">NE </v>
      </c>
      <c r="N813" s="9">
        <f t="shared" ref="N813:N839" si="150">B813</f>
        <v>42.58</v>
      </c>
      <c r="O813" s="9">
        <f t="shared" ref="O813:O839" si="151">C813</f>
        <v>99.98</v>
      </c>
    </row>
    <row r="814" spans="1:15" x14ac:dyDescent="0.2">
      <c r="A814" s="1" t="s">
        <v>1638</v>
      </c>
      <c r="B814" s="2">
        <v>42.05</v>
      </c>
      <c r="C814" s="2">
        <v>102.8</v>
      </c>
      <c r="D814" s="2" t="s">
        <v>1639</v>
      </c>
      <c r="H814" s="2" t="s">
        <v>3385</v>
      </c>
      <c r="J814" s="7" t="str">
        <f t="shared" si="146"/>
        <v>Alliance</v>
      </c>
      <c r="K814" s="7" t="str">
        <f t="shared" si="147"/>
        <v xml:space="preserve">NE  </v>
      </c>
      <c r="L814" s="7" t="str">
        <f t="shared" si="148"/>
        <v xml:space="preserve">NE </v>
      </c>
      <c r="M814" s="7" t="str">
        <f t="shared" si="149"/>
        <v xml:space="preserve">NE </v>
      </c>
      <c r="N814" s="9">
        <f t="shared" si="150"/>
        <v>42.05</v>
      </c>
      <c r="O814" s="9">
        <f t="shared" si="151"/>
        <v>102.8</v>
      </c>
    </row>
    <row r="815" spans="1:15" x14ac:dyDescent="0.2">
      <c r="A815" s="1" t="s">
        <v>1640</v>
      </c>
      <c r="B815" s="2">
        <v>40.32</v>
      </c>
      <c r="C815" s="2">
        <v>96.75</v>
      </c>
      <c r="D815" s="2" t="s">
        <v>1641</v>
      </c>
      <c r="H815" s="2" t="s">
        <v>3386</v>
      </c>
      <c r="J815" s="7" t="str">
        <f t="shared" si="146"/>
        <v>Beatrice</v>
      </c>
      <c r="K815" s="7" t="str">
        <f t="shared" si="147"/>
        <v xml:space="preserve">NE  </v>
      </c>
      <c r="L815" s="7" t="str">
        <f t="shared" si="148"/>
        <v xml:space="preserve">NE </v>
      </c>
      <c r="M815" s="7" t="str">
        <f t="shared" si="149"/>
        <v xml:space="preserve">NE </v>
      </c>
      <c r="N815" s="9">
        <f t="shared" si="150"/>
        <v>40.32</v>
      </c>
      <c r="O815" s="9">
        <f t="shared" si="151"/>
        <v>96.75</v>
      </c>
    </row>
    <row r="816" spans="1:15" x14ac:dyDescent="0.2">
      <c r="A816" s="1" t="s">
        <v>1642</v>
      </c>
      <c r="B816" s="2">
        <v>41.43</v>
      </c>
      <c r="C816" s="2">
        <v>99.65</v>
      </c>
      <c r="D816" s="2" t="s">
        <v>1643</v>
      </c>
      <c r="E816" s="2" t="s">
        <v>1644</v>
      </c>
      <c r="H816" s="2" t="s">
        <v>3387</v>
      </c>
      <c r="J816" s="7" t="str">
        <f t="shared" si="146"/>
        <v>Broken Bo</v>
      </c>
      <c r="K816" s="7" t="str">
        <f t="shared" si="147"/>
        <v xml:space="preserve">,NE </v>
      </c>
      <c r="L816" s="7" t="str">
        <f t="shared" si="148"/>
        <v>,NE</v>
      </c>
      <c r="M816" s="7" t="str">
        <f t="shared" si="149"/>
        <v>NE</v>
      </c>
      <c r="N816" s="9">
        <f t="shared" si="150"/>
        <v>41.43</v>
      </c>
      <c r="O816" s="9">
        <f t="shared" si="151"/>
        <v>99.65</v>
      </c>
    </row>
    <row r="817" spans="1:15" x14ac:dyDescent="0.2">
      <c r="A817" s="1" t="s">
        <v>1645</v>
      </c>
      <c r="B817" s="2">
        <v>41.78</v>
      </c>
      <c r="C817" s="2">
        <v>99.15</v>
      </c>
      <c r="D817" s="2" t="s">
        <v>1646</v>
      </c>
      <c r="H817" s="2" t="s">
        <v>3388</v>
      </c>
      <c r="J817" s="7" t="str">
        <f t="shared" si="146"/>
        <v>Burwell</v>
      </c>
      <c r="K817" s="7" t="str">
        <f t="shared" si="147"/>
        <v xml:space="preserve">NE  </v>
      </c>
      <c r="L817" s="7" t="str">
        <f t="shared" si="148"/>
        <v xml:space="preserve">NE </v>
      </c>
      <c r="M817" s="7" t="str">
        <f t="shared" si="149"/>
        <v xml:space="preserve">NE </v>
      </c>
      <c r="N817" s="9">
        <f t="shared" si="150"/>
        <v>41.78</v>
      </c>
      <c r="O817" s="9">
        <f t="shared" si="151"/>
        <v>99.15</v>
      </c>
    </row>
    <row r="818" spans="1:15" x14ac:dyDescent="0.2">
      <c r="A818" s="1" t="s">
        <v>1647</v>
      </c>
      <c r="B818" s="2">
        <v>42.83</v>
      </c>
      <c r="C818" s="2">
        <v>103.08</v>
      </c>
      <c r="D818" s="2" t="s">
        <v>1648</v>
      </c>
      <c r="H818" s="2" t="s">
        <v>3389</v>
      </c>
      <c r="J818" s="7" t="str">
        <f t="shared" si="146"/>
        <v>Chadron</v>
      </c>
      <c r="K818" s="7" t="str">
        <f t="shared" si="147"/>
        <v xml:space="preserve">NE  </v>
      </c>
      <c r="L818" s="7" t="str">
        <f t="shared" si="148"/>
        <v xml:space="preserve">NE </v>
      </c>
      <c r="M818" s="7" t="str">
        <f t="shared" si="149"/>
        <v xml:space="preserve">NE </v>
      </c>
      <c r="N818" s="9">
        <f t="shared" si="150"/>
        <v>42.83</v>
      </c>
      <c r="O818" s="9">
        <f t="shared" si="151"/>
        <v>103.08</v>
      </c>
    </row>
    <row r="819" spans="1:15" x14ac:dyDescent="0.2">
      <c r="A819" s="1" t="s">
        <v>1649</v>
      </c>
      <c r="B819" s="2">
        <v>41.45</v>
      </c>
      <c r="C819" s="2">
        <v>97.35</v>
      </c>
      <c r="D819" s="2" t="s">
        <v>1650</v>
      </c>
      <c r="H819" s="2" t="s">
        <v>3390</v>
      </c>
      <c r="J819" s="7" t="str">
        <f t="shared" si="146"/>
        <v>Columbus</v>
      </c>
      <c r="K819" s="7" t="str">
        <f t="shared" si="147"/>
        <v xml:space="preserve">NE  </v>
      </c>
      <c r="L819" s="7" t="str">
        <f t="shared" si="148"/>
        <v xml:space="preserve">NE </v>
      </c>
      <c r="M819" s="7" t="str">
        <f t="shared" si="149"/>
        <v xml:space="preserve">NE </v>
      </c>
      <c r="N819" s="9">
        <f t="shared" si="150"/>
        <v>41.45</v>
      </c>
      <c r="O819" s="9">
        <f t="shared" si="151"/>
        <v>97.35</v>
      </c>
    </row>
    <row r="820" spans="1:15" x14ac:dyDescent="0.2">
      <c r="A820" s="1" t="s">
        <v>1651</v>
      </c>
      <c r="B820" s="2">
        <v>40.869999999999997</v>
      </c>
      <c r="C820" s="2">
        <v>100</v>
      </c>
      <c r="D820" s="2" t="s">
        <v>1652</v>
      </c>
      <c r="H820" s="2" t="s">
        <v>3391</v>
      </c>
      <c r="J820" s="7" t="str">
        <f t="shared" si="146"/>
        <v>Cozad</v>
      </c>
      <c r="K820" s="7" t="str">
        <f t="shared" si="147"/>
        <v xml:space="preserve">NE  </v>
      </c>
      <c r="L820" s="7" t="str">
        <f t="shared" si="148"/>
        <v xml:space="preserve">NE </v>
      </c>
      <c r="M820" s="7" t="str">
        <f t="shared" si="149"/>
        <v xml:space="preserve">NE </v>
      </c>
      <c r="N820" s="9">
        <f t="shared" si="150"/>
        <v>40.869999999999997</v>
      </c>
      <c r="O820" s="9">
        <f t="shared" si="151"/>
        <v>100</v>
      </c>
    </row>
    <row r="821" spans="1:15" x14ac:dyDescent="0.2">
      <c r="A821" s="1" t="s">
        <v>1653</v>
      </c>
      <c r="B821" s="2">
        <v>40.07</v>
      </c>
      <c r="C821" s="2">
        <v>95.58</v>
      </c>
      <c r="D821" s="2" t="s">
        <v>1654</v>
      </c>
      <c r="E821" s="2" t="s">
        <v>1655</v>
      </c>
      <c r="H821" s="2" t="s">
        <v>3392</v>
      </c>
      <c r="J821" s="7" t="str">
        <f t="shared" si="146"/>
        <v>Falls Cit</v>
      </c>
      <c r="K821" s="7" t="str">
        <f t="shared" si="147"/>
        <v xml:space="preserve">,NE </v>
      </c>
      <c r="L821" s="7" t="str">
        <f t="shared" si="148"/>
        <v>,NE</v>
      </c>
      <c r="M821" s="7" t="str">
        <f t="shared" si="149"/>
        <v>NE</v>
      </c>
      <c r="N821" s="9">
        <f t="shared" si="150"/>
        <v>40.07</v>
      </c>
      <c r="O821" s="9">
        <f t="shared" si="151"/>
        <v>95.58</v>
      </c>
    </row>
    <row r="822" spans="1:15" x14ac:dyDescent="0.2">
      <c r="A822" s="1" t="s">
        <v>1656</v>
      </c>
      <c r="B822" s="2">
        <v>40.97</v>
      </c>
      <c r="C822" s="2">
        <v>98.32</v>
      </c>
      <c r="D822" s="2" t="s">
        <v>354</v>
      </c>
      <c r="E822" s="2" t="s">
        <v>1657</v>
      </c>
      <c r="H822" s="2" t="s">
        <v>3393</v>
      </c>
      <c r="J822" s="7" t="str">
        <f t="shared" si="146"/>
        <v>Grand Islan</v>
      </c>
      <c r="K822" s="7" t="str">
        <f t="shared" si="147"/>
        <v xml:space="preserve">,NE </v>
      </c>
      <c r="L822" s="7" t="str">
        <f t="shared" si="148"/>
        <v>,NE</v>
      </c>
      <c r="M822" s="7" t="str">
        <f t="shared" si="149"/>
        <v>NE</v>
      </c>
      <c r="N822" s="9">
        <f t="shared" si="150"/>
        <v>40.97</v>
      </c>
      <c r="O822" s="9">
        <f t="shared" si="151"/>
        <v>98.32</v>
      </c>
    </row>
    <row r="823" spans="1:15" x14ac:dyDescent="0.2">
      <c r="A823" s="1" t="s">
        <v>1658</v>
      </c>
      <c r="B823" s="2">
        <v>40.6</v>
      </c>
      <c r="C823" s="2">
        <v>98.43</v>
      </c>
      <c r="D823" s="2" t="s">
        <v>1659</v>
      </c>
      <c r="H823" s="2" t="s">
        <v>3394</v>
      </c>
      <c r="J823" s="7" t="str">
        <f t="shared" si="146"/>
        <v>Hastings</v>
      </c>
      <c r="K823" s="7" t="str">
        <f t="shared" si="147"/>
        <v xml:space="preserve">NE  </v>
      </c>
      <c r="L823" s="7" t="str">
        <f t="shared" si="148"/>
        <v xml:space="preserve">NE </v>
      </c>
      <c r="M823" s="7" t="str">
        <f t="shared" si="149"/>
        <v xml:space="preserve">NE </v>
      </c>
      <c r="N823" s="9">
        <f t="shared" si="150"/>
        <v>40.6</v>
      </c>
      <c r="O823" s="9">
        <f t="shared" si="151"/>
        <v>98.43</v>
      </c>
    </row>
    <row r="824" spans="1:15" x14ac:dyDescent="0.2">
      <c r="A824" s="1" t="s">
        <v>1660</v>
      </c>
      <c r="B824" s="2">
        <v>40.33</v>
      </c>
      <c r="C824" s="2">
        <v>101.39</v>
      </c>
      <c r="D824" s="2" t="s">
        <v>1661</v>
      </c>
      <c r="H824" s="2" t="s">
        <v>3395</v>
      </c>
      <c r="J824" s="7" t="str">
        <f t="shared" si="146"/>
        <v>Imperial</v>
      </c>
      <c r="K824" s="7" t="str">
        <f t="shared" si="147"/>
        <v xml:space="preserve">NE  </v>
      </c>
      <c r="L824" s="7" t="str">
        <f t="shared" si="148"/>
        <v xml:space="preserve">NE </v>
      </c>
      <c r="M824" s="7" t="str">
        <f t="shared" si="149"/>
        <v xml:space="preserve">NE </v>
      </c>
      <c r="N824" s="9">
        <f t="shared" si="150"/>
        <v>40.33</v>
      </c>
      <c r="O824" s="9">
        <f t="shared" si="151"/>
        <v>101.39</v>
      </c>
    </row>
    <row r="825" spans="1:15" x14ac:dyDescent="0.2">
      <c r="A825" s="1" t="s">
        <v>1662</v>
      </c>
      <c r="B825" s="2">
        <v>40.53</v>
      </c>
      <c r="C825" s="2">
        <v>101.63</v>
      </c>
      <c r="D825" s="2" t="s">
        <v>1661</v>
      </c>
      <c r="H825" s="2" t="s">
        <v>3395</v>
      </c>
      <c r="J825" s="7" t="str">
        <f t="shared" si="146"/>
        <v>Imperial</v>
      </c>
      <c r="K825" s="7" t="str">
        <f t="shared" si="147"/>
        <v xml:space="preserve">NE  </v>
      </c>
      <c r="L825" s="7" t="str">
        <f t="shared" si="148"/>
        <v xml:space="preserve">NE </v>
      </c>
      <c r="M825" s="7" t="str">
        <f t="shared" si="149"/>
        <v xml:space="preserve">NE </v>
      </c>
      <c r="N825" s="9">
        <f t="shared" si="150"/>
        <v>40.53</v>
      </c>
      <c r="O825" s="9">
        <f t="shared" si="151"/>
        <v>101.63</v>
      </c>
    </row>
    <row r="826" spans="1:15" x14ac:dyDescent="0.2">
      <c r="A826" s="1" t="s">
        <v>1663</v>
      </c>
      <c r="B826" s="2">
        <v>40.729999999999997</v>
      </c>
      <c r="C826" s="2">
        <v>99</v>
      </c>
      <c r="D826" s="2" t="s">
        <v>1664</v>
      </c>
      <c r="H826" s="2" t="s">
        <v>3396</v>
      </c>
      <c r="J826" s="7" t="str">
        <f t="shared" si="146"/>
        <v>Kearney</v>
      </c>
      <c r="K826" s="7" t="str">
        <f t="shared" si="147"/>
        <v xml:space="preserve">NE  </v>
      </c>
      <c r="L826" s="7" t="str">
        <f t="shared" si="148"/>
        <v xml:space="preserve">NE </v>
      </c>
      <c r="M826" s="7" t="str">
        <f t="shared" si="149"/>
        <v xml:space="preserve">NE </v>
      </c>
      <c r="N826" s="9">
        <f t="shared" si="150"/>
        <v>40.729999999999997</v>
      </c>
      <c r="O826" s="9">
        <f t="shared" si="151"/>
        <v>99</v>
      </c>
    </row>
    <row r="827" spans="1:15" x14ac:dyDescent="0.2">
      <c r="A827" s="1" t="s">
        <v>1665</v>
      </c>
      <c r="B827" s="2">
        <v>40.85</v>
      </c>
      <c r="C827" s="2">
        <v>96.75</v>
      </c>
      <c r="D827" s="2" t="s">
        <v>1666</v>
      </c>
      <c r="E827" s="2" t="s">
        <v>1667</v>
      </c>
      <c r="H827" s="2" t="s">
        <v>3397</v>
      </c>
      <c r="J827" s="7" t="str">
        <f t="shared" si="146"/>
        <v>Lincoln Mun</v>
      </c>
      <c r="K827" s="7" t="str">
        <f t="shared" si="147"/>
        <v xml:space="preserve">,NE </v>
      </c>
      <c r="L827" s="7" t="str">
        <f t="shared" si="148"/>
        <v>,NE</v>
      </c>
      <c r="M827" s="7" t="str">
        <f t="shared" si="149"/>
        <v>NE</v>
      </c>
      <c r="N827" s="9">
        <f t="shared" si="150"/>
        <v>40.85</v>
      </c>
      <c r="O827" s="9">
        <f t="shared" si="151"/>
        <v>96.75</v>
      </c>
    </row>
    <row r="828" spans="1:15" x14ac:dyDescent="0.2">
      <c r="A828" s="1" t="s">
        <v>1668</v>
      </c>
      <c r="B828" s="2">
        <v>40.22</v>
      </c>
      <c r="C828" s="2">
        <v>100.58</v>
      </c>
      <c r="D828" s="2" t="s">
        <v>1669</v>
      </c>
      <c r="H828" s="2" t="s">
        <v>3398</v>
      </c>
      <c r="J828" s="7" t="str">
        <f t="shared" si="146"/>
        <v>Mccook</v>
      </c>
      <c r="K828" s="7" t="str">
        <f t="shared" si="147"/>
        <v xml:space="preserve">NE  </v>
      </c>
      <c r="L828" s="7" t="str">
        <f t="shared" si="148"/>
        <v xml:space="preserve">NE </v>
      </c>
      <c r="M828" s="7" t="str">
        <f t="shared" si="149"/>
        <v xml:space="preserve">NE </v>
      </c>
      <c r="N828" s="9">
        <f t="shared" si="150"/>
        <v>40.22</v>
      </c>
      <c r="O828" s="9">
        <f t="shared" si="151"/>
        <v>100.58</v>
      </c>
    </row>
    <row r="829" spans="1:15" x14ac:dyDescent="0.2">
      <c r="A829" s="1" t="s">
        <v>1670</v>
      </c>
      <c r="B829" s="2">
        <v>42.05</v>
      </c>
      <c r="C829" s="2">
        <v>101.05</v>
      </c>
      <c r="D829" s="2" t="s">
        <v>1671</v>
      </c>
      <c r="H829" s="2" t="s">
        <v>3399</v>
      </c>
      <c r="J829" s="7" t="str">
        <f t="shared" si="146"/>
        <v>Mullen</v>
      </c>
      <c r="K829" s="7" t="str">
        <f t="shared" si="147"/>
        <v xml:space="preserve">NE  </v>
      </c>
      <c r="L829" s="7" t="str">
        <f t="shared" si="148"/>
        <v xml:space="preserve">NE </v>
      </c>
      <c r="M829" s="7" t="str">
        <f t="shared" si="149"/>
        <v xml:space="preserve">NE </v>
      </c>
      <c r="N829" s="9">
        <f t="shared" si="150"/>
        <v>42.05</v>
      </c>
      <c r="O829" s="9">
        <f t="shared" si="151"/>
        <v>101.05</v>
      </c>
    </row>
    <row r="830" spans="1:15" x14ac:dyDescent="0.2">
      <c r="A830" s="1" t="s">
        <v>1672</v>
      </c>
      <c r="B830" s="2">
        <v>41.98</v>
      </c>
      <c r="C830" s="2">
        <v>97.43</v>
      </c>
      <c r="D830" s="2" t="s">
        <v>1673</v>
      </c>
      <c r="H830" s="2" t="s">
        <v>3400</v>
      </c>
      <c r="J830" s="7" t="str">
        <f t="shared" si="146"/>
        <v>Norfolk</v>
      </c>
      <c r="K830" s="7" t="str">
        <f t="shared" si="147"/>
        <v xml:space="preserve">NE  </v>
      </c>
      <c r="L830" s="7" t="str">
        <f t="shared" si="148"/>
        <v xml:space="preserve">NE </v>
      </c>
      <c r="M830" s="7" t="str">
        <f t="shared" si="149"/>
        <v xml:space="preserve">NE </v>
      </c>
      <c r="N830" s="9">
        <f t="shared" si="150"/>
        <v>41.98</v>
      </c>
      <c r="O830" s="9">
        <f t="shared" si="151"/>
        <v>97.43</v>
      </c>
    </row>
    <row r="831" spans="1:15" x14ac:dyDescent="0.2">
      <c r="A831" s="1" t="s">
        <v>1674</v>
      </c>
      <c r="B831" s="2">
        <v>41.37</v>
      </c>
      <c r="C831" s="2">
        <v>96.02</v>
      </c>
      <c r="D831" s="2" t="s">
        <v>49</v>
      </c>
      <c r="E831" s="2" t="s">
        <v>1675</v>
      </c>
      <c r="H831" s="2" t="s">
        <v>3401</v>
      </c>
      <c r="J831" s="7" t="str">
        <f t="shared" si="146"/>
        <v>North Omah</v>
      </c>
      <c r="K831" s="7" t="str">
        <f t="shared" si="147"/>
        <v xml:space="preserve">,NE </v>
      </c>
      <c r="L831" s="7" t="str">
        <f t="shared" si="148"/>
        <v>,NE</v>
      </c>
      <c r="M831" s="7" t="str">
        <f t="shared" si="149"/>
        <v>NE</v>
      </c>
      <c r="N831" s="9">
        <f t="shared" si="150"/>
        <v>41.37</v>
      </c>
      <c r="O831" s="9">
        <f t="shared" si="151"/>
        <v>96.02</v>
      </c>
    </row>
    <row r="832" spans="1:15" x14ac:dyDescent="0.2">
      <c r="A832" s="1" t="s">
        <v>1676</v>
      </c>
      <c r="B832" s="2">
        <v>41.13</v>
      </c>
      <c r="C832" s="2">
        <v>100.68</v>
      </c>
      <c r="D832" s="2" t="s">
        <v>49</v>
      </c>
      <c r="E832" s="2" t="s">
        <v>1677</v>
      </c>
      <c r="H832" s="2" t="s">
        <v>3402</v>
      </c>
      <c r="J832" s="7" t="str">
        <f t="shared" si="146"/>
        <v>North Platt</v>
      </c>
      <c r="K832" s="7" t="str">
        <f t="shared" si="147"/>
        <v xml:space="preserve">,NE </v>
      </c>
      <c r="L832" s="7" t="str">
        <f t="shared" si="148"/>
        <v>,NE</v>
      </c>
      <c r="M832" s="7" t="str">
        <f t="shared" si="149"/>
        <v>NE</v>
      </c>
      <c r="N832" s="9">
        <f t="shared" si="150"/>
        <v>41.13</v>
      </c>
      <c r="O832" s="9">
        <f t="shared" si="151"/>
        <v>100.68</v>
      </c>
    </row>
    <row r="833" spans="1:15" x14ac:dyDescent="0.2">
      <c r="A833" s="1" t="s">
        <v>1678</v>
      </c>
      <c r="B833" s="2">
        <v>42.47</v>
      </c>
      <c r="C833" s="2">
        <v>98.68</v>
      </c>
      <c r="D833" s="2" t="s">
        <v>1679</v>
      </c>
      <c r="H833" s="2" t="s">
        <v>3403</v>
      </c>
      <c r="J833" s="7" t="str">
        <f t="shared" si="146"/>
        <v>O'neill</v>
      </c>
      <c r="K833" s="7" t="str">
        <f t="shared" si="147"/>
        <v xml:space="preserve">NE  </v>
      </c>
      <c r="L833" s="7" t="str">
        <f t="shared" si="148"/>
        <v xml:space="preserve">NE </v>
      </c>
      <c r="M833" s="7" t="str">
        <f t="shared" si="149"/>
        <v xml:space="preserve">NE </v>
      </c>
      <c r="N833" s="9">
        <f t="shared" si="150"/>
        <v>42.47</v>
      </c>
      <c r="O833" s="9">
        <f t="shared" si="151"/>
        <v>98.68</v>
      </c>
    </row>
    <row r="834" spans="1:15" x14ac:dyDescent="0.2">
      <c r="A834" s="1" t="s">
        <v>1680</v>
      </c>
      <c r="B834" s="2">
        <v>41.12</v>
      </c>
      <c r="C834" s="2">
        <v>95.92</v>
      </c>
      <c r="D834" s="2" t="s">
        <v>1681</v>
      </c>
      <c r="E834" s="2" t="s">
        <v>1682</v>
      </c>
      <c r="H834" s="2" t="s">
        <v>3404</v>
      </c>
      <c r="J834" s="7" t="str">
        <f t="shared" si="146"/>
        <v>Offutt AF</v>
      </c>
      <c r="K834" s="7" t="str">
        <f t="shared" si="147"/>
        <v xml:space="preserve">,NE </v>
      </c>
      <c r="L834" s="7" t="str">
        <f t="shared" si="148"/>
        <v>,NE</v>
      </c>
      <c r="M834" s="7" t="str">
        <f t="shared" si="149"/>
        <v>NE</v>
      </c>
      <c r="N834" s="9">
        <f t="shared" si="150"/>
        <v>41.12</v>
      </c>
      <c r="O834" s="9">
        <f t="shared" si="151"/>
        <v>95.92</v>
      </c>
    </row>
    <row r="835" spans="1:15" x14ac:dyDescent="0.2">
      <c r="A835" s="1" t="s">
        <v>1683</v>
      </c>
      <c r="B835" s="2">
        <v>41.3</v>
      </c>
      <c r="C835" s="2">
        <v>95.9</v>
      </c>
      <c r="D835" s="2" t="s">
        <v>1684</v>
      </c>
      <c r="H835" s="2" t="s">
        <v>3405</v>
      </c>
      <c r="J835" s="7" t="str">
        <f t="shared" si="146"/>
        <v>Omaha/Eppley</v>
      </c>
      <c r="K835" s="7" t="str">
        <f t="shared" si="147"/>
        <v xml:space="preserve">NE  </v>
      </c>
      <c r="L835" s="7" t="str">
        <f t="shared" si="148"/>
        <v xml:space="preserve">NE </v>
      </c>
      <c r="M835" s="7" t="str">
        <f t="shared" si="149"/>
        <v xml:space="preserve">NE </v>
      </c>
      <c r="N835" s="9">
        <f t="shared" si="150"/>
        <v>41.3</v>
      </c>
      <c r="O835" s="9">
        <f t="shared" si="151"/>
        <v>95.9</v>
      </c>
    </row>
    <row r="836" spans="1:15" x14ac:dyDescent="0.2">
      <c r="A836" s="1" t="s">
        <v>1685</v>
      </c>
      <c r="B836" s="2">
        <v>41.62</v>
      </c>
      <c r="C836" s="2">
        <v>98.95</v>
      </c>
      <c r="D836" s="2" t="s">
        <v>1686</v>
      </c>
      <c r="H836" s="2" t="s">
        <v>3406</v>
      </c>
      <c r="J836" s="7" t="str">
        <f t="shared" si="146"/>
        <v>Ord/Sharp</v>
      </c>
      <c r="K836" s="7" t="str">
        <f t="shared" si="147"/>
        <v xml:space="preserve">NE  </v>
      </c>
      <c r="L836" s="7" t="str">
        <f t="shared" si="148"/>
        <v xml:space="preserve">NE </v>
      </c>
      <c r="M836" s="7" t="str">
        <f t="shared" si="149"/>
        <v xml:space="preserve">NE </v>
      </c>
      <c r="N836" s="9">
        <f t="shared" si="150"/>
        <v>41.62</v>
      </c>
      <c r="O836" s="9">
        <f t="shared" si="151"/>
        <v>98.95</v>
      </c>
    </row>
    <row r="837" spans="1:15" x14ac:dyDescent="0.2">
      <c r="A837" s="1" t="s">
        <v>1687</v>
      </c>
      <c r="B837" s="2">
        <v>41.87</v>
      </c>
      <c r="C837" s="2">
        <v>103.6</v>
      </c>
      <c r="D837" s="2" t="s">
        <v>1688</v>
      </c>
      <c r="H837" s="2" t="s">
        <v>3407</v>
      </c>
      <c r="J837" s="7" t="str">
        <f t="shared" si="146"/>
        <v>Scottsbluff</v>
      </c>
      <c r="K837" s="7" t="str">
        <f t="shared" si="147"/>
        <v xml:space="preserve">NE  </v>
      </c>
      <c r="L837" s="7" t="str">
        <f t="shared" si="148"/>
        <v xml:space="preserve">NE </v>
      </c>
      <c r="M837" s="7" t="str">
        <f t="shared" si="149"/>
        <v xml:space="preserve">NE </v>
      </c>
      <c r="N837" s="9">
        <f t="shared" si="150"/>
        <v>41.87</v>
      </c>
      <c r="O837" s="9">
        <f t="shared" si="151"/>
        <v>103.6</v>
      </c>
    </row>
    <row r="838" spans="1:15" x14ac:dyDescent="0.2">
      <c r="A838" s="1" t="s">
        <v>1689</v>
      </c>
      <c r="B838" s="2">
        <v>41.1</v>
      </c>
      <c r="C838" s="2">
        <v>102.98</v>
      </c>
      <c r="D838" s="2" t="s">
        <v>1690</v>
      </c>
      <c r="E838" s="2" t="s">
        <v>1667</v>
      </c>
      <c r="H838" s="2" t="s">
        <v>3408</v>
      </c>
      <c r="J838" s="7" t="str">
        <f t="shared" si="146"/>
        <v>Sidney Mun</v>
      </c>
      <c r="K838" s="7" t="str">
        <f t="shared" si="147"/>
        <v xml:space="preserve">,NE </v>
      </c>
      <c r="L838" s="7" t="str">
        <f t="shared" si="148"/>
        <v>,NE</v>
      </c>
      <c r="M838" s="7" t="str">
        <f t="shared" si="149"/>
        <v>NE</v>
      </c>
      <c r="N838" s="9">
        <f t="shared" si="150"/>
        <v>41.1</v>
      </c>
      <c r="O838" s="9">
        <f t="shared" si="151"/>
        <v>102.98</v>
      </c>
    </row>
    <row r="839" spans="1:15" x14ac:dyDescent="0.2">
      <c r="A839" s="1" t="s">
        <v>1691</v>
      </c>
      <c r="B839" s="2">
        <v>42.87</v>
      </c>
      <c r="C839" s="2">
        <v>100.55</v>
      </c>
      <c r="D839" s="2" t="s">
        <v>1692</v>
      </c>
      <c r="H839" s="2" t="s">
        <v>3409</v>
      </c>
      <c r="J839" s="7" t="str">
        <f t="shared" si="146"/>
        <v>Valentine</v>
      </c>
      <c r="K839" s="7" t="str">
        <f t="shared" si="147"/>
        <v xml:space="preserve">NE  </v>
      </c>
      <c r="L839" s="7" t="str">
        <f t="shared" si="148"/>
        <v xml:space="preserve">NE </v>
      </c>
      <c r="M839" s="7" t="str">
        <f t="shared" si="149"/>
        <v xml:space="preserve">NE </v>
      </c>
      <c r="N839" s="9">
        <f t="shared" si="150"/>
        <v>42.87</v>
      </c>
      <c r="O839" s="9">
        <f t="shared" si="151"/>
        <v>100.55</v>
      </c>
    </row>
    <row r="840" spans="1:15" x14ac:dyDescent="0.2">
      <c r="A840" s="4"/>
      <c r="H840" s="2" t="s">
        <v>2726</v>
      </c>
      <c r="J840" s="7"/>
      <c r="K840" s="7"/>
      <c r="L840" s="7"/>
      <c r="M840" s="7"/>
      <c r="N840" s="9"/>
      <c r="O840" s="9"/>
    </row>
    <row r="841" spans="1:15" x14ac:dyDescent="0.2">
      <c r="A841" s="1" t="s">
        <v>27</v>
      </c>
      <c r="H841" s="2" t="s">
        <v>2726</v>
      </c>
      <c r="J841" s="7"/>
      <c r="K841" s="7"/>
      <c r="L841" s="7"/>
      <c r="M841" s="7"/>
      <c r="N841" s="9"/>
      <c r="O841" s="9"/>
    </row>
    <row r="842" spans="1:15" x14ac:dyDescent="0.2">
      <c r="A842" s="4"/>
      <c r="H842" s="2" t="s">
        <v>2726</v>
      </c>
      <c r="J842" s="7"/>
      <c r="K842" s="7"/>
      <c r="L842" s="7"/>
      <c r="M842" s="7"/>
      <c r="N842" s="9"/>
      <c r="O842" s="9"/>
    </row>
    <row r="843" spans="1:15" x14ac:dyDescent="0.2">
      <c r="A843" s="1" t="s">
        <v>1693</v>
      </c>
      <c r="B843" s="2">
        <v>39.83</v>
      </c>
      <c r="C843" s="2">
        <v>117.13</v>
      </c>
      <c r="D843" s="2" t="s">
        <v>1694</v>
      </c>
      <c r="H843" s="2" t="s">
        <v>3410</v>
      </c>
      <c r="J843" s="7" t="str">
        <f t="shared" si="146"/>
        <v>Austin</v>
      </c>
      <c r="K843" s="7" t="str">
        <f t="shared" si="147"/>
        <v xml:space="preserve">NV  </v>
      </c>
      <c r="L843" s="7" t="str">
        <f t="shared" ref="L843:L863" si="152">LEFT(K843,LEN(K843)-1)</f>
        <v xml:space="preserve">NV </v>
      </c>
      <c r="M843" s="7" t="str">
        <f t="shared" ref="M843:M863" si="153">SUBSTITUTE(L843,",","")</f>
        <v xml:space="preserve">NV </v>
      </c>
      <c r="N843" s="9">
        <f t="shared" ref="N843:N863" si="154">B843</f>
        <v>39.83</v>
      </c>
      <c r="O843" s="9">
        <f t="shared" ref="O843:O863" si="155">C843</f>
        <v>117.13</v>
      </c>
    </row>
    <row r="844" spans="1:15" x14ac:dyDescent="0.2">
      <c r="A844" s="1" t="s">
        <v>1695</v>
      </c>
      <c r="B844" s="2">
        <v>39.5</v>
      </c>
      <c r="C844" s="2">
        <v>117.08</v>
      </c>
      <c r="D844" s="2" t="s">
        <v>1694</v>
      </c>
      <c r="H844" s="2" t="s">
        <v>3410</v>
      </c>
      <c r="J844" s="7" t="str">
        <f t="shared" si="146"/>
        <v>Austin</v>
      </c>
      <c r="K844" s="7" t="str">
        <f t="shared" si="147"/>
        <v xml:space="preserve">NV  </v>
      </c>
      <c r="L844" s="7" t="str">
        <f t="shared" si="152"/>
        <v xml:space="preserve">NV </v>
      </c>
      <c r="M844" s="7" t="str">
        <f t="shared" si="153"/>
        <v xml:space="preserve">NV </v>
      </c>
      <c r="N844" s="9">
        <f t="shared" si="154"/>
        <v>39.5</v>
      </c>
      <c r="O844" s="9">
        <f t="shared" si="155"/>
        <v>117.08</v>
      </c>
    </row>
    <row r="845" spans="1:15" x14ac:dyDescent="0.2">
      <c r="A845" s="1" t="s">
        <v>1696</v>
      </c>
      <c r="B845" s="2">
        <v>40.619999999999997</v>
      </c>
      <c r="C845" s="2">
        <v>116.87</v>
      </c>
      <c r="D845" s="2" t="s">
        <v>1371</v>
      </c>
      <c r="E845" s="2" t="s">
        <v>1697</v>
      </c>
      <c r="H845" s="2" t="s">
        <v>3411</v>
      </c>
      <c r="J845" s="7" t="str">
        <f t="shared" si="146"/>
        <v>Battle Mt</v>
      </c>
      <c r="K845" s="7" t="str">
        <f t="shared" si="147"/>
        <v xml:space="preserve">,NV </v>
      </c>
      <c r="L845" s="7" t="str">
        <f t="shared" si="152"/>
        <v>,NV</v>
      </c>
      <c r="M845" s="7" t="str">
        <f t="shared" si="153"/>
        <v>NV</v>
      </c>
      <c r="N845" s="9">
        <f t="shared" si="154"/>
        <v>40.619999999999997</v>
      </c>
      <c r="O845" s="9">
        <f t="shared" si="155"/>
        <v>116.87</v>
      </c>
    </row>
    <row r="846" spans="1:15" x14ac:dyDescent="0.2">
      <c r="A846" s="1" t="s">
        <v>1698</v>
      </c>
      <c r="B846" s="2">
        <v>37.619999999999997</v>
      </c>
      <c r="C846" s="2">
        <v>114.52</v>
      </c>
      <c r="D846" s="2" t="s">
        <v>1699</v>
      </c>
      <c r="H846" s="2" t="s">
        <v>3412</v>
      </c>
      <c r="J846" s="7" t="str">
        <f t="shared" si="146"/>
        <v>Caliente</v>
      </c>
      <c r="K846" s="7" t="str">
        <f t="shared" si="147"/>
        <v xml:space="preserve">NV  </v>
      </c>
      <c r="L846" s="7" t="str">
        <f t="shared" si="152"/>
        <v xml:space="preserve">NV </v>
      </c>
      <c r="M846" s="7" t="str">
        <f t="shared" si="153"/>
        <v xml:space="preserve">NV </v>
      </c>
      <c r="N846" s="9">
        <f t="shared" si="154"/>
        <v>37.619999999999997</v>
      </c>
      <c r="O846" s="9">
        <f t="shared" si="155"/>
        <v>114.52</v>
      </c>
    </row>
    <row r="847" spans="1:15" x14ac:dyDescent="0.2">
      <c r="A847" s="1" t="s">
        <v>1700</v>
      </c>
      <c r="B847" s="2">
        <v>40.83</v>
      </c>
      <c r="C847" s="2">
        <v>115.78</v>
      </c>
      <c r="D847" s="2" t="s">
        <v>1701</v>
      </c>
      <c r="H847" s="2" t="s">
        <v>3413</v>
      </c>
      <c r="J847" s="7" t="str">
        <f t="shared" si="146"/>
        <v>Elko</v>
      </c>
      <c r="K847" s="7" t="str">
        <f t="shared" si="147"/>
        <v xml:space="preserve">NV  </v>
      </c>
      <c r="L847" s="7" t="str">
        <f t="shared" si="152"/>
        <v xml:space="preserve">NV </v>
      </c>
      <c r="M847" s="7" t="str">
        <f t="shared" si="153"/>
        <v xml:space="preserve">NV </v>
      </c>
      <c r="N847" s="9">
        <f t="shared" si="154"/>
        <v>40.83</v>
      </c>
      <c r="O847" s="9">
        <f t="shared" si="155"/>
        <v>115.78</v>
      </c>
    </row>
    <row r="848" spans="1:15" x14ac:dyDescent="0.2">
      <c r="A848" s="1" t="s">
        <v>1702</v>
      </c>
      <c r="B848" s="2">
        <v>39.28</v>
      </c>
      <c r="C848" s="2">
        <v>114.85</v>
      </c>
      <c r="D848" s="2" t="s">
        <v>1703</v>
      </c>
      <c r="H848" s="2" t="s">
        <v>3414</v>
      </c>
      <c r="J848" s="7" t="str">
        <f t="shared" si="146"/>
        <v>Ely/Yelland</v>
      </c>
      <c r="K848" s="7" t="str">
        <f t="shared" si="147"/>
        <v xml:space="preserve">NV  </v>
      </c>
      <c r="L848" s="7" t="str">
        <f t="shared" si="152"/>
        <v xml:space="preserve">NV </v>
      </c>
      <c r="M848" s="7" t="str">
        <f t="shared" si="153"/>
        <v xml:space="preserve">NV </v>
      </c>
      <c r="N848" s="9">
        <f t="shared" si="154"/>
        <v>39.28</v>
      </c>
      <c r="O848" s="9">
        <f t="shared" si="155"/>
        <v>114.85</v>
      </c>
    </row>
    <row r="849" spans="1:15" x14ac:dyDescent="0.2">
      <c r="A849" s="1" t="s">
        <v>1704</v>
      </c>
      <c r="B849" s="2">
        <v>39.5</v>
      </c>
      <c r="C849" s="2">
        <v>115.97</v>
      </c>
      <c r="D849" s="2" t="s">
        <v>1705</v>
      </c>
      <c r="H849" s="2" t="s">
        <v>3415</v>
      </c>
      <c r="J849" s="7" t="str">
        <f t="shared" si="146"/>
        <v>Eureka</v>
      </c>
      <c r="K849" s="7" t="str">
        <f t="shared" si="147"/>
        <v xml:space="preserve">NV  </v>
      </c>
      <c r="L849" s="7" t="str">
        <f t="shared" si="152"/>
        <v xml:space="preserve">NV </v>
      </c>
      <c r="M849" s="7" t="str">
        <f t="shared" si="153"/>
        <v xml:space="preserve">NV </v>
      </c>
      <c r="N849" s="9">
        <f t="shared" si="154"/>
        <v>39.5</v>
      </c>
      <c r="O849" s="9">
        <f t="shared" si="155"/>
        <v>115.97</v>
      </c>
    </row>
    <row r="850" spans="1:15" x14ac:dyDescent="0.2">
      <c r="A850" s="1" t="s">
        <v>1706</v>
      </c>
      <c r="B850" s="2">
        <v>39.42</v>
      </c>
      <c r="C850" s="2">
        <v>118.7</v>
      </c>
      <c r="D850" s="2" t="s">
        <v>1707</v>
      </c>
      <c r="E850" s="2" t="s">
        <v>1708</v>
      </c>
      <c r="H850" s="2" t="s">
        <v>3416</v>
      </c>
      <c r="J850" s="7" t="str">
        <f t="shared" si="146"/>
        <v>Fallon NA</v>
      </c>
      <c r="K850" s="7" t="str">
        <f t="shared" si="147"/>
        <v xml:space="preserve">,NV </v>
      </c>
      <c r="L850" s="7" t="str">
        <f t="shared" si="152"/>
        <v>,NV</v>
      </c>
      <c r="M850" s="7" t="str">
        <f t="shared" si="153"/>
        <v>NV</v>
      </c>
      <c r="N850" s="9">
        <f t="shared" si="154"/>
        <v>39.42</v>
      </c>
      <c r="O850" s="9">
        <f t="shared" si="155"/>
        <v>118.7</v>
      </c>
    </row>
    <row r="851" spans="1:15" x14ac:dyDescent="0.2">
      <c r="A851" s="1" t="s">
        <v>1709</v>
      </c>
      <c r="B851" s="2">
        <v>38.549999999999997</v>
      </c>
      <c r="C851" s="2">
        <v>118.63</v>
      </c>
      <c r="D851" s="2" t="s">
        <v>1710</v>
      </c>
      <c r="H851" s="2" t="s">
        <v>3417</v>
      </c>
      <c r="J851" s="7" t="str">
        <f t="shared" si="146"/>
        <v>Hawthorne</v>
      </c>
      <c r="K851" s="7" t="str">
        <f t="shared" si="147"/>
        <v xml:space="preserve">NV  </v>
      </c>
      <c r="L851" s="7" t="str">
        <f t="shared" si="152"/>
        <v xml:space="preserve">NV </v>
      </c>
      <c r="M851" s="7" t="str">
        <f t="shared" si="153"/>
        <v xml:space="preserve">NV </v>
      </c>
      <c r="N851" s="9">
        <f t="shared" si="154"/>
        <v>38.549999999999997</v>
      </c>
      <c r="O851" s="9">
        <f t="shared" si="155"/>
        <v>118.63</v>
      </c>
    </row>
    <row r="852" spans="1:15" x14ac:dyDescent="0.2">
      <c r="A852" s="1" t="s">
        <v>1711</v>
      </c>
      <c r="B852" s="2">
        <v>36.53</v>
      </c>
      <c r="C852" s="2">
        <v>115.57</v>
      </c>
      <c r="D852" s="2" t="s">
        <v>1712</v>
      </c>
      <c r="E852" s="2" t="s">
        <v>1713</v>
      </c>
      <c r="F852" s="2" t="s">
        <v>1714</v>
      </c>
      <c r="H852" s="2" t="s">
        <v>3418</v>
      </c>
      <c r="J852" s="7" t="str">
        <f t="shared" si="146"/>
        <v xml:space="preserve">Ind Sprng </v>
      </c>
      <c r="K852" s="7" t="str">
        <f t="shared" si="147"/>
        <v>n,NV</v>
      </c>
      <c r="L852" s="7" t="str">
        <f t="shared" si="152"/>
        <v>n,N</v>
      </c>
      <c r="M852" s="7" t="str">
        <f t="shared" si="153"/>
        <v>nN</v>
      </c>
      <c r="N852" s="9">
        <f t="shared" si="154"/>
        <v>36.53</v>
      </c>
      <c r="O852" s="9">
        <f t="shared" si="155"/>
        <v>115.57</v>
      </c>
    </row>
    <row r="853" spans="1:15" x14ac:dyDescent="0.2">
      <c r="A853" s="1" t="s">
        <v>1715</v>
      </c>
      <c r="B853" s="2">
        <v>36.57</v>
      </c>
      <c r="C853" s="2">
        <v>115.67</v>
      </c>
      <c r="D853" s="2" t="s">
        <v>1712</v>
      </c>
      <c r="E853" s="2" t="s">
        <v>1713</v>
      </c>
      <c r="F853" s="2" t="s">
        <v>1714</v>
      </c>
      <c r="H853" s="2" t="s">
        <v>3418</v>
      </c>
      <c r="J853" s="7" t="str">
        <f t="shared" si="146"/>
        <v xml:space="preserve">Ind Sprng </v>
      </c>
      <c r="K853" s="7" t="str">
        <f t="shared" si="147"/>
        <v>n,NV</v>
      </c>
      <c r="L853" s="7" t="str">
        <f t="shared" si="152"/>
        <v>n,N</v>
      </c>
      <c r="M853" s="7" t="str">
        <f t="shared" si="153"/>
        <v>nN</v>
      </c>
      <c r="N853" s="9">
        <f t="shared" si="154"/>
        <v>36.57</v>
      </c>
      <c r="O853" s="9">
        <f t="shared" si="155"/>
        <v>115.67</v>
      </c>
    </row>
    <row r="854" spans="1:15" x14ac:dyDescent="0.2">
      <c r="A854" s="1" t="s">
        <v>1716</v>
      </c>
      <c r="B854" s="2">
        <v>36.08</v>
      </c>
      <c r="C854" s="2">
        <v>115.17</v>
      </c>
      <c r="D854" s="2" t="s">
        <v>1717</v>
      </c>
      <c r="E854" s="2" t="s">
        <v>1718</v>
      </c>
      <c r="H854" s="2" t="s">
        <v>3872</v>
      </c>
      <c r="J854" s="7" t="str">
        <f t="shared" ref="J854:J917" si="156">LEFT(H854,LEN(H854)-5)</f>
        <v>Las Vegas</v>
      </c>
      <c r="K854" s="7" t="str">
        <f t="shared" ref="K854:K917" si="157">RIGHT(H854,4)</f>
        <v xml:space="preserve">NV  </v>
      </c>
      <c r="L854" s="7" t="str">
        <f t="shared" si="152"/>
        <v xml:space="preserve">NV </v>
      </c>
      <c r="M854" s="7" t="str">
        <f t="shared" si="153"/>
        <v xml:space="preserve">NV </v>
      </c>
      <c r="N854" s="9">
        <f t="shared" si="154"/>
        <v>36.08</v>
      </c>
      <c r="O854" s="9">
        <f t="shared" si="155"/>
        <v>115.17</v>
      </c>
    </row>
    <row r="855" spans="1:15" x14ac:dyDescent="0.2">
      <c r="A855" s="1" t="s">
        <v>1719</v>
      </c>
      <c r="B855" s="2">
        <v>40.1</v>
      </c>
      <c r="C855" s="2">
        <v>118.92</v>
      </c>
      <c r="D855" s="2" t="s">
        <v>1720</v>
      </c>
      <c r="H855" s="2" t="s">
        <v>3419</v>
      </c>
      <c r="J855" s="7" t="str">
        <f t="shared" si="156"/>
        <v>Lovelock</v>
      </c>
      <c r="K855" s="7" t="str">
        <f t="shared" si="157"/>
        <v xml:space="preserve">NV  </v>
      </c>
      <c r="L855" s="7" t="str">
        <f t="shared" si="152"/>
        <v xml:space="preserve">NV </v>
      </c>
      <c r="M855" s="7" t="str">
        <f t="shared" si="153"/>
        <v xml:space="preserve">NV </v>
      </c>
      <c r="N855" s="9">
        <f t="shared" si="154"/>
        <v>40.1</v>
      </c>
      <c r="O855" s="9">
        <f t="shared" si="155"/>
        <v>118.92</v>
      </c>
    </row>
    <row r="856" spans="1:15" x14ac:dyDescent="0.2">
      <c r="A856" s="1" t="s">
        <v>1721</v>
      </c>
      <c r="B856" s="2">
        <v>36.619999999999997</v>
      </c>
      <c r="C856" s="2">
        <v>116.02</v>
      </c>
      <c r="D856" s="2" t="s">
        <v>1722</v>
      </c>
      <c r="H856" s="2" t="s">
        <v>3420</v>
      </c>
      <c r="J856" s="7" t="str">
        <f t="shared" si="156"/>
        <v>Mercury</v>
      </c>
      <c r="K856" s="7" t="str">
        <f t="shared" si="157"/>
        <v xml:space="preserve">NV  </v>
      </c>
      <c r="L856" s="7" t="str">
        <f t="shared" si="152"/>
        <v xml:space="preserve">NV </v>
      </c>
      <c r="M856" s="7" t="str">
        <f t="shared" si="153"/>
        <v xml:space="preserve">NV </v>
      </c>
      <c r="N856" s="9">
        <f t="shared" si="154"/>
        <v>36.619999999999997</v>
      </c>
      <c r="O856" s="9">
        <f t="shared" si="155"/>
        <v>116.02</v>
      </c>
    </row>
    <row r="857" spans="1:15" x14ac:dyDescent="0.2">
      <c r="A857" s="1" t="s">
        <v>1723</v>
      </c>
      <c r="B857" s="2">
        <v>36.229999999999997</v>
      </c>
      <c r="C857" s="2">
        <v>115.03</v>
      </c>
      <c r="D857" s="2" t="s">
        <v>1724</v>
      </c>
      <c r="E857" s="2" t="s">
        <v>1725</v>
      </c>
      <c r="H857" s="2" t="s">
        <v>3421</v>
      </c>
      <c r="J857" s="7" t="str">
        <f t="shared" si="156"/>
        <v>Nellis AF</v>
      </c>
      <c r="K857" s="7" t="str">
        <f t="shared" si="157"/>
        <v xml:space="preserve">,NV </v>
      </c>
      <c r="L857" s="7" t="str">
        <f t="shared" si="152"/>
        <v>,NV</v>
      </c>
      <c r="M857" s="7" t="str">
        <f t="shared" si="153"/>
        <v>NV</v>
      </c>
      <c r="N857" s="9">
        <f t="shared" si="154"/>
        <v>36.229999999999997</v>
      </c>
      <c r="O857" s="9">
        <f t="shared" si="155"/>
        <v>115.03</v>
      </c>
    </row>
    <row r="858" spans="1:15" x14ac:dyDescent="0.2">
      <c r="A858" s="1" t="s">
        <v>1726</v>
      </c>
      <c r="B858" s="2">
        <v>42.58</v>
      </c>
      <c r="C858" s="2">
        <v>116.17</v>
      </c>
      <c r="D858" s="2" t="s">
        <v>1727</v>
      </c>
      <c r="H858" s="2" t="s">
        <v>3422</v>
      </c>
      <c r="J858" s="7" t="str">
        <f t="shared" si="156"/>
        <v>Owyhee</v>
      </c>
      <c r="K858" s="7" t="str">
        <f t="shared" si="157"/>
        <v xml:space="preserve">NV  </v>
      </c>
      <c r="L858" s="7" t="str">
        <f t="shared" si="152"/>
        <v xml:space="preserve">NV </v>
      </c>
      <c r="M858" s="7" t="str">
        <f t="shared" si="153"/>
        <v xml:space="preserve">NV </v>
      </c>
      <c r="N858" s="9">
        <f t="shared" si="154"/>
        <v>42.58</v>
      </c>
      <c r="O858" s="9">
        <f t="shared" si="155"/>
        <v>116.17</v>
      </c>
    </row>
    <row r="859" spans="1:15" x14ac:dyDescent="0.2">
      <c r="A859" s="1" t="s">
        <v>1728</v>
      </c>
      <c r="B859" s="2">
        <v>39.5</v>
      </c>
      <c r="C859" s="2">
        <v>119.78</v>
      </c>
      <c r="D859" s="2" t="s">
        <v>1729</v>
      </c>
      <c r="H859" s="2" t="s">
        <v>3423</v>
      </c>
      <c r="J859" s="7" t="str">
        <f t="shared" si="156"/>
        <v>Reno</v>
      </c>
      <c r="K859" s="7" t="str">
        <f t="shared" si="157"/>
        <v xml:space="preserve">NV  </v>
      </c>
      <c r="L859" s="7" t="str">
        <f t="shared" si="152"/>
        <v xml:space="preserve">NV </v>
      </c>
      <c r="M859" s="7" t="str">
        <f t="shared" si="153"/>
        <v xml:space="preserve">NV </v>
      </c>
      <c r="N859" s="9">
        <f t="shared" si="154"/>
        <v>39.5</v>
      </c>
      <c r="O859" s="9">
        <f t="shared" si="155"/>
        <v>119.78</v>
      </c>
    </row>
    <row r="860" spans="1:15" x14ac:dyDescent="0.2">
      <c r="A860" s="1" t="s">
        <v>1730</v>
      </c>
      <c r="B860" s="2">
        <v>38.07</v>
      </c>
      <c r="C860" s="2">
        <v>117.08</v>
      </c>
      <c r="D860" s="2" t="s">
        <v>1731</v>
      </c>
      <c r="H860" s="2" t="s">
        <v>3424</v>
      </c>
      <c r="J860" s="7" t="str">
        <f t="shared" si="156"/>
        <v>Tonopah</v>
      </c>
      <c r="K860" s="7" t="str">
        <f t="shared" si="157"/>
        <v xml:space="preserve">NV  </v>
      </c>
      <c r="L860" s="7" t="str">
        <f t="shared" si="152"/>
        <v xml:space="preserve">NV </v>
      </c>
      <c r="M860" s="7" t="str">
        <f t="shared" si="153"/>
        <v xml:space="preserve">NV </v>
      </c>
      <c r="N860" s="9">
        <f t="shared" si="154"/>
        <v>38.07</v>
      </c>
      <c r="O860" s="9">
        <f t="shared" si="155"/>
        <v>117.08</v>
      </c>
    </row>
    <row r="861" spans="1:15" x14ac:dyDescent="0.2">
      <c r="A861" s="1" t="s">
        <v>1732</v>
      </c>
      <c r="B861" s="2">
        <v>41.33</v>
      </c>
      <c r="C861" s="2">
        <v>116.25</v>
      </c>
      <c r="D861" s="2" t="s">
        <v>1733</v>
      </c>
      <c r="H861" s="2" t="s">
        <v>3425</v>
      </c>
      <c r="J861" s="7" t="str">
        <f t="shared" si="156"/>
        <v>Wildhorse</v>
      </c>
      <c r="K861" s="7" t="str">
        <f t="shared" si="157"/>
        <v xml:space="preserve">NV  </v>
      </c>
      <c r="L861" s="7" t="str">
        <f t="shared" si="152"/>
        <v xml:space="preserve">NV </v>
      </c>
      <c r="M861" s="7" t="str">
        <f t="shared" si="153"/>
        <v xml:space="preserve">NV </v>
      </c>
      <c r="N861" s="9">
        <f t="shared" si="154"/>
        <v>41.33</v>
      </c>
      <c r="O861" s="9">
        <f t="shared" si="155"/>
        <v>116.25</v>
      </c>
    </row>
    <row r="862" spans="1:15" x14ac:dyDescent="0.2">
      <c r="A862" s="1" t="s">
        <v>1734</v>
      </c>
      <c r="B862" s="2">
        <v>40.9</v>
      </c>
      <c r="C862" s="2">
        <v>117.8</v>
      </c>
      <c r="D862" s="2" t="s">
        <v>1735</v>
      </c>
      <c r="H862" s="2" t="s">
        <v>3426</v>
      </c>
      <c r="J862" s="7" t="str">
        <f t="shared" si="156"/>
        <v>Winnemucca</v>
      </c>
      <c r="K862" s="7" t="str">
        <f t="shared" si="157"/>
        <v xml:space="preserve">NV  </v>
      </c>
      <c r="L862" s="7" t="str">
        <f t="shared" si="152"/>
        <v xml:space="preserve">NV </v>
      </c>
      <c r="M862" s="7" t="str">
        <f t="shared" si="153"/>
        <v xml:space="preserve">NV </v>
      </c>
      <c r="N862" s="9">
        <f t="shared" si="154"/>
        <v>40.9</v>
      </c>
      <c r="O862" s="9">
        <f t="shared" si="155"/>
        <v>117.8</v>
      </c>
    </row>
    <row r="863" spans="1:15" x14ac:dyDescent="0.2">
      <c r="A863" s="1" t="s">
        <v>1736</v>
      </c>
      <c r="B863" s="2">
        <v>37.58</v>
      </c>
      <c r="C863" s="2">
        <v>116.08</v>
      </c>
      <c r="D863" s="2" t="s">
        <v>1737</v>
      </c>
      <c r="E863" s="2" t="s">
        <v>1738</v>
      </c>
      <c r="H863" s="2" t="s">
        <v>3427</v>
      </c>
      <c r="J863" s="7" t="str">
        <f t="shared" si="156"/>
        <v>Yucca Fla</v>
      </c>
      <c r="K863" s="7" t="str">
        <f t="shared" si="157"/>
        <v xml:space="preserve">,NV </v>
      </c>
      <c r="L863" s="7" t="str">
        <f t="shared" si="152"/>
        <v>,NV</v>
      </c>
      <c r="M863" s="7" t="str">
        <f t="shared" si="153"/>
        <v>NV</v>
      </c>
      <c r="N863" s="9">
        <f t="shared" si="154"/>
        <v>37.58</v>
      </c>
      <c r="O863" s="9">
        <f t="shared" si="155"/>
        <v>116.08</v>
      </c>
    </row>
    <row r="864" spans="1:15" x14ac:dyDescent="0.2">
      <c r="A864" s="4"/>
      <c r="H864" s="2" t="s">
        <v>2726</v>
      </c>
      <c r="J864" s="7"/>
      <c r="K864" s="7"/>
      <c r="L864" s="7"/>
      <c r="M864" s="7"/>
      <c r="N864" s="9"/>
      <c r="O864" s="9"/>
    </row>
    <row r="865" spans="1:15" x14ac:dyDescent="0.2">
      <c r="A865" s="1" t="s">
        <v>44</v>
      </c>
      <c r="B865" s="2" t="s">
        <v>45</v>
      </c>
      <c r="H865" s="2" t="s">
        <v>2726</v>
      </c>
      <c r="J865" s="7"/>
      <c r="K865" s="7"/>
      <c r="L865" s="7"/>
      <c r="M865" s="7"/>
      <c r="N865" s="9"/>
      <c r="O865" s="9"/>
    </row>
    <row r="866" spans="1:15" x14ac:dyDescent="0.2">
      <c r="A866" s="4"/>
      <c r="H866" s="2" t="s">
        <v>2726</v>
      </c>
      <c r="J866" s="7"/>
      <c r="K866" s="7"/>
      <c r="L866" s="7"/>
      <c r="M866" s="7"/>
      <c r="N866" s="9"/>
      <c r="O866" s="9"/>
    </row>
    <row r="867" spans="1:15" x14ac:dyDescent="0.2">
      <c r="A867" s="1" t="s">
        <v>1739</v>
      </c>
      <c r="B867" s="2">
        <v>44.58</v>
      </c>
      <c r="C867" s="2">
        <v>71.180000000000007</v>
      </c>
      <c r="D867" s="2" t="s">
        <v>1740</v>
      </c>
      <c r="H867" s="2" t="s">
        <v>3428</v>
      </c>
      <c r="J867" s="7" t="str">
        <f t="shared" si="156"/>
        <v>Berlin</v>
      </c>
      <c r="K867" s="7" t="str">
        <f t="shared" si="157"/>
        <v xml:space="preserve">NH  </v>
      </c>
      <c r="L867" s="7" t="str">
        <f t="shared" ref="L867:L877" si="158">LEFT(K867,LEN(K867)-1)</f>
        <v xml:space="preserve">NH </v>
      </c>
      <c r="M867" s="7" t="str">
        <f t="shared" ref="M867:M877" si="159">SUBSTITUTE(L867,",","")</f>
        <v xml:space="preserve">NH </v>
      </c>
      <c r="N867" s="9">
        <f t="shared" ref="N867:N877" si="160">B867</f>
        <v>44.58</v>
      </c>
      <c r="O867" s="9">
        <f t="shared" ref="O867:O877" si="161">C867</f>
        <v>71.180000000000007</v>
      </c>
    </row>
    <row r="868" spans="1:15" x14ac:dyDescent="0.2">
      <c r="A868" s="1" t="s">
        <v>1741</v>
      </c>
      <c r="B868" s="2">
        <v>43.2</v>
      </c>
      <c r="C868" s="2">
        <v>71.5</v>
      </c>
      <c r="D868" s="2" t="s">
        <v>1742</v>
      </c>
      <c r="H868" s="2" t="s">
        <v>3429</v>
      </c>
      <c r="J868" s="7" t="str">
        <f t="shared" si="156"/>
        <v>Concord</v>
      </c>
      <c r="K868" s="7" t="str">
        <f t="shared" si="157"/>
        <v xml:space="preserve">NH  </v>
      </c>
      <c r="L868" s="7" t="str">
        <f t="shared" si="158"/>
        <v xml:space="preserve">NH </v>
      </c>
      <c r="M868" s="7" t="str">
        <f t="shared" si="159"/>
        <v xml:space="preserve">NH </v>
      </c>
      <c r="N868" s="9">
        <f t="shared" si="160"/>
        <v>43.2</v>
      </c>
      <c r="O868" s="9">
        <f t="shared" si="161"/>
        <v>71.5</v>
      </c>
    </row>
    <row r="869" spans="1:15" x14ac:dyDescent="0.2">
      <c r="A869" s="1" t="s">
        <v>1743</v>
      </c>
      <c r="B869" s="2">
        <v>42.8</v>
      </c>
      <c r="C869" s="2">
        <v>72</v>
      </c>
      <c r="D869" s="2" t="s">
        <v>1744</v>
      </c>
      <c r="H869" s="2" t="s">
        <v>3430</v>
      </c>
      <c r="J869" s="7" t="str">
        <f t="shared" si="156"/>
        <v>Jaffrey</v>
      </c>
      <c r="K869" s="7" t="str">
        <f t="shared" si="157"/>
        <v xml:space="preserve">NH  </v>
      </c>
      <c r="L869" s="7" t="str">
        <f t="shared" si="158"/>
        <v xml:space="preserve">NH </v>
      </c>
      <c r="M869" s="7" t="str">
        <f t="shared" si="159"/>
        <v xml:space="preserve">NH </v>
      </c>
      <c r="N869" s="9">
        <f t="shared" si="160"/>
        <v>42.8</v>
      </c>
      <c r="O869" s="9">
        <f t="shared" si="161"/>
        <v>72</v>
      </c>
    </row>
    <row r="870" spans="1:15" x14ac:dyDescent="0.2">
      <c r="A870" s="1" t="s">
        <v>1745</v>
      </c>
      <c r="B870" s="2">
        <v>42.9</v>
      </c>
      <c r="C870" s="2">
        <v>72.27</v>
      </c>
      <c r="D870" s="2" t="s">
        <v>1746</v>
      </c>
      <c r="H870" s="2" t="s">
        <v>3431</v>
      </c>
      <c r="J870" s="7" t="str">
        <f t="shared" si="156"/>
        <v>Keene</v>
      </c>
      <c r="K870" s="7" t="str">
        <f t="shared" si="157"/>
        <v xml:space="preserve">NH  </v>
      </c>
      <c r="L870" s="7" t="str">
        <f t="shared" si="158"/>
        <v xml:space="preserve">NH </v>
      </c>
      <c r="M870" s="7" t="str">
        <f t="shared" si="159"/>
        <v xml:space="preserve">NH </v>
      </c>
      <c r="N870" s="9">
        <f t="shared" si="160"/>
        <v>42.9</v>
      </c>
      <c r="O870" s="9">
        <f t="shared" si="161"/>
        <v>72.27</v>
      </c>
    </row>
    <row r="871" spans="1:15" x14ac:dyDescent="0.2">
      <c r="A871" s="1" t="s">
        <v>1747</v>
      </c>
      <c r="B871" s="2">
        <v>43.57</v>
      </c>
      <c r="C871" s="2">
        <v>71.430000000000007</v>
      </c>
      <c r="D871" s="2" t="s">
        <v>1748</v>
      </c>
      <c r="H871" s="2" t="s">
        <v>3432</v>
      </c>
      <c r="J871" s="7" t="str">
        <f t="shared" si="156"/>
        <v>Laconia</v>
      </c>
      <c r="K871" s="7" t="str">
        <f t="shared" si="157"/>
        <v xml:space="preserve">NH  </v>
      </c>
      <c r="L871" s="7" t="str">
        <f t="shared" si="158"/>
        <v xml:space="preserve">NH </v>
      </c>
      <c r="M871" s="7" t="str">
        <f t="shared" si="159"/>
        <v xml:space="preserve">NH </v>
      </c>
      <c r="N871" s="9">
        <f t="shared" si="160"/>
        <v>43.57</v>
      </c>
      <c r="O871" s="9">
        <f t="shared" si="161"/>
        <v>71.430000000000007</v>
      </c>
    </row>
    <row r="872" spans="1:15" x14ac:dyDescent="0.2">
      <c r="A872" s="1" t="s">
        <v>1749</v>
      </c>
      <c r="B872" s="2">
        <v>43.63</v>
      </c>
      <c r="C872" s="2">
        <v>72.3</v>
      </c>
      <c r="D872" s="2" t="s">
        <v>1750</v>
      </c>
      <c r="H872" s="2" t="s">
        <v>3433</v>
      </c>
      <c r="J872" s="7" t="str">
        <f t="shared" si="156"/>
        <v>Lebanon</v>
      </c>
      <c r="K872" s="7" t="str">
        <f t="shared" si="157"/>
        <v xml:space="preserve">NH  </v>
      </c>
      <c r="L872" s="7" t="str">
        <f t="shared" si="158"/>
        <v xml:space="preserve">NH </v>
      </c>
      <c r="M872" s="7" t="str">
        <f t="shared" si="159"/>
        <v xml:space="preserve">NH </v>
      </c>
      <c r="N872" s="9">
        <f t="shared" si="160"/>
        <v>43.63</v>
      </c>
      <c r="O872" s="9">
        <f t="shared" si="161"/>
        <v>72.3</v>
      </c>
    </row>
    <row r="873" spans="1:15" x14ac:dyDescent="0.2">
      <c r="A873" s="1" t="s">
        <v>1751</v>
      </c>
      <c r="B873" s="2">
        <v>42.93</v>
      </c>
      <c r="C873" s="2">
        <v>71.430000000000007</v>
      </c>
      <c r="D873" s="2" t="s">
        <v>1752</v>
      </c>
      <c r="H873" s="2" t="s">
        <v>3434</v>
      </c>
      <c r="J873" s="7" t="str">
        <f t="shared" si="156"/>
        <v>Manchester</v>
      </c>
      <c r="K873" s="7" t="str">
        <f t="shared" si="157"/>
        <v xml:space="preserve">NH  </v>
      </c>
      <c r="L873" s="7" t="str">
        <f t="shared" si="158"/>
        <v xml:space="preserve">NH </v>
      </c>
      <c r="M873" s="7" t="str">
        <f t="shared" si="159"/>
        <v xml:space="preserve">NH </v>
      </c>
      <c r="N873" s="9">
        <f t="shared" si="160"/>
        <v>42.93</v>
      </c>
      <c r="O873" s="9">
        <f t="shared" si="161"/>
        <v>71.430000000000007</v>
      </c>
    </row>
    <row r="874" spans="1:15" x14ac:dyDescent="0.2">
      <c r="A874" s="1" t="s">
        <v>1753</v>
      </c>
      <c r="B874" s="2">
        <v>44.27</v>
      </c>
      <c r="C874" s="2">
        <v>71.3</v>
      </c>
      <c r="D874" s="2" t="s">
        <v>1754</v>
      </c>
      <c r="E874" s="2" t="s">
        <v>1755</v>
      </c>
      <c r="H874" s="2" t="s">
        <v>3435</v>
      </c>
      <c r="J874" s="7" t="str">
        <f t="shared" si="156"/>
        <v>Mt Washingt</v>
      </c>
      <c r="K874" s="7" t="str">
        <f t="shared" si="157"/>
        <v xml:space="preserve">,NH </v>
      </c>
      <c r="L874" s="7" t="str">
        <f t="shared" si="158"/>
        <v>,NH</v>
      </c>
      <c r="M874" s="7" t="str">
        <f t="shared" si="159"/>
        <v>NH</v>
      </c>
      <c r="N874" s="9">
        <f t="shared" si="160"/>
        <v>44.27</v>
      </c>
      <c r="O874" s="9">
        <f t="shared" si="161"/>
        <v>71.3</v>
      </c>
    </row>
    <row r="875" spans="1:15" x14ac:dyDescent="0.2">
      <c r="A875" s="1" t="s">
        <v>1756</v>
      </c>
      <c r="B875" s="2">
        <v>42.78</v>
      </c>
      <c r="C875" s="2">
        <v>71.52</v>
      </c>
      <c r="D875" s="2" t="s">
        <v>1757</v>
      </c>
      <c r="H875" s="2" t="s">
        <v>3436</v>
      </c>
      <c r="J875" s="7" t="str">
        <f t="shared" si="156"/>
        <v>Nashua</v>
      </c>
      <c r="K875" s="7" t="str">
        <f t="shared" si="157"/>
        <v xml:space="preserve">NH  </v>
      </c>
      <c r="L875" s="7" t="str">
        <f t="shared" si="158"/>
        <v xml:space="preserve">NH </v>
      </c>
      <c r="M875" s="7" t="str">
        <f t="shared" si="159"/>
        <v xml:space="preserve">NH </v>
      </c>
      <c r="N875" s="9">
        <f t="shared" si="160"/>
        <v>42.78</v>
      </c>
      <c r="O875" s="9">
        <f t="shared" si="161"/>
        <v>71.52</v>
      </c>
    </row>
    <row r="876" spans="1:15" x14ac:dyDescent="0.2">
      <c r="A876" s="1" t="s">
        <v>1758</v>
      </c>
      <c r="B876" s="2">
        <v>43.08</v>
      </c>
      <c r="C876" s="2">
        <v>70.819999999999993</v>
      </c>
      <c r="D876" s="2" t="s">
        <v>1759</v>
      </c>
      <c r="E876" s="2" t="s">
        <v>1760</v>
      </c>
      <c r="H876" s="2" t="s">
        <v>3437</v>
      </c>
      <c r="J876" s="7" t="str">
        <f t="shared" si="156"/>
        <v>Pease AF</v>
      </c>
      <c r="K876" s="7" t="str">
        <f t="shared" si="157"/>
        <v xml:space="preserve">,NH </v>
      </c>
      <c r="L876" s="7" t="str">
        <f t="shared" si="158"/>
        <v>,NH</v>
      </c>
      <c r="M876" s="7" t="str">
        <f t="shared" si="159"/>
        <v>NH</v>
      </c>
      <c r="N876" s="9">
        <f t="shared" si="160"/>
        <v>43.08</v>
      </c>
      <c r="O876" s="9">
        <f t="shared" si="161"/>
        <v>70.819999999999993</v>
      </c>
    </row>
    <row r="877" spans="1:15" x14ac:dyDescent="0.2">
      <c r="A877" s="1" t="s">
        <v>1761</v>
      </c>
      <c r="B877" s="2">
        <v>44</v>
      </c>
      <c r="C877" s="2">
        <v>71.38</v>
      </c>
      <c r="D877" s="2" t="s">
        <v>1762</v>
      </c>
      <c r="H877" s="2" t="s">
        <v>3438</v>
      </c>
      <c r="J877" s="7" t="str">
        <f t="shared" si="156"/>
        <v>Wolfeboro</v>
      </c>
      <c r="K877" s="7" t="str">
        <f t="shared" si="157"/>
        <v xml:space="preserve">NH  </v>
      </c>
      <c r="L877" s="7" t="str">
        <f t="shared" si="158"/>
        <v xml:space="preserve">NH </v>
      </c>
      <c r="M877" s="7" t="str">
        <f t="shared" si="159"/>
        <v xml:space="preserve">NH </v>
      </c>
      <c r="N877" s="9">
        <f t="shared" si="160"/>
        <v>44</v>
      </c>
      <c r="O877" s="9">
        <f t="shared" si="161"/>
        <v>71.38</v>
      </c>
    </row>
    <row r="878" spans="1:15" x14ac:dyDescent="0.2">
      <c r="A878" s="4"/>
      <c r="H878" s="2" t="s">
        <v>2726</v>
      </c>
      <c r="J878" s="7"/>
      <c r="K878" s="7"/>
      <c r="L878" s="7"/>
      <c r="M878" s="7"/>
      <c r="N878" s="9"/>
      <c r="O878" s="9"/>
    </row>
    <row r="879" spans="1:15" x14ac:dyDescent="0.2">
      <c r="A879" s="1" t="s">
        <v>44</v>
      </c>
      <c r="B879" s="2" t="s">
        <v>46</v>
      </c>
      <c r="H879" s="2" t="s">
        <v>2726</v>
      </c>
      <c r="J879" s="7"/>
      <c r="K879" s="7"/>
      <c r="L879" s="7"/>
      <c r="M879" s="7"/>
      <c r="N879" s="9"/>
      <c r="O879" s="9"/>
    </row>
    <row r="880" spans="1:15" x14ac:dyDescent="0.2">
      <c r="A880" s="4"/>
      <c r="H880" s="2" t="s">
        <v>2726</v>
      </c>
      <c r="J880" s="7"/>
      <c r="K880" s="7"/>
      <c r="L880" s="7"/>
      <c r="M880" s="7"/>
      <c r="N880" s="9"/>
      <c r="O880" s="9"/>
    </row>
    <row r="881" spans="1:15" x14ac:dyDescent="0.2">
      <c r="A881" s="1" t="s">
        <v>1763</v>
      </c>
      <c r="B881" s="2">
        <v>39.450000000000003</v>
      </c>
      <c r="C881" s="2">
        <v>74.569999999999993</v>
      </c>
      <c r="D881" s="2" t="s">
        <v>1764</v>
      </c>
      <c r="E881" s="2" t="s">
        <v>1765</v>
      </c>
      <c r="H881" s="2" t="s">
        <v>3439</v>
      </c>
      <c r="J881" s="7" t="str">
        <f t="shared" si="156"/>
        <v>Atlantic Ct</v>
      </c>
      <c r="K881" s="7" t="str">
        <f t="shared" si="157"/>
        <v xml:space="preserve">,NJ </v>
      </c>
      <c r="L881" s="7" t="str">
        <f t="shared" ref="L881:L890" si="162">LEFT(K881,LEN(K881)-1)</f>
        <v>,NJ</v>
      </c>
      <c r="M881" s="7" t="str">
        <f t="shared" ref="M881:M890" si="163">SUBSTITUTE(L881,",","")</f>
        <v>NJ</v>
      </c>
      <c r="N881" s="9">
        <f t="shared" ref="N881:N890" si="164">B881</f>
        <v>39.450000000000003</v>
      </c>
      <c r="O881" s="9">
        <f t="shared" ref="O881:O890" si="165">C881</f>
        <v>74.569999999999993</v>
      </c>
    </row>
    <row r="882" spans="1:15" x14ac:dyDescent="0.2">
      <c r="A882" s="1" t="s">
        <v>1766</v>
      </c>
      <c r="B882" s="2">
        <v>40.28</v>
      </c>
      <c r="C882" s="2">
        <v>74.28</v>
      </c>
      <c r="D882" s="2" t="s">
        <v>1767</v>
      </c>
      <c r="E882" s="2" t="s">
        <v>1768</v>
      </c>
      <c r="H882" s="2" t="s">
        <v>3440</v>
      </c>
      <c r="J882" s="7" t="str">
        <f t="shared" si="156"/>
        <v>Barnegat L</v>
      </c>
      <c r="K882" s="7" t="str">
        <f t="shared" si="157"/>
        <v xml:space="preserve">,NJ </v>
      </c>
      <c r="L882" s="7" t="str">
        <f t="shared" si="162"/>
        <v>,NJ</v>
      </c>
      <c r="M882" s="7" t="str">
        <f t="shared" si="163"/>
        <v>NJ</v>
      </c>
      <c r="N882" s="9">
        <f t="shared" si="164"/>
        <v>40.28</v>
      </c>
      <c r="O882" s="9">
        <f t="shared" si="165"/>
        <v>74.28</v>
      </c>
    </row>
    <row r="883" spans="1:15" x14ac:dyDescent="0.2">
      <c r="A883" s="1" t="s">
        <v>1769</v>
      </c>
      <c r="B883" s="2">
        <v>40.869999999999997</v>
      </c>
      <c r="C883" s="2">
        <v>74.28</v>
      </c>
      <c r="D883" s="2" t="s">
        <v>1770</v>
      </c>
      <c r="H883" s="2" t="s">
        <v>3441</v>
      </c>
      <c r="J883" s="7" t="str">
        <f t="shared" si="156"/>
        <v>Fairfield</v>
      </c>
      <c r="K883" s="7" t="str">
        <f t="shared" si="157"/>
        <v xml:space="preserve">NJ  </v>
      </c>
      <c r="L883" s="7" t="str">
        <f t="shared" si="162"/>
        <v xml:space="preserve">NJ </v>
      </c>
      <c r="M883" s="7" t="str">
        <f t="shared" si="163"/>
        <v xml:space="preserve">NJ </v>
      </c>
      <c r="N883" s="9">
        <f t="shared" si="164"/>
        <v>40.869999999999997</v>
      </c>
      <c r="O883" s="9">
        <f t="shared" si="165"/>
        <v>74.28</v>
      </c>
    </row>
    <row r="884" spans="1:15" x14ac:dyDescent="0.2">
      <c r="A884" s="1" t="s">
        <v>1771</v>
      </c>
      <c r="B884" s="2">
        <v>40.03</v>
      </c>
      <c r="C884" s="2">
        <v>74.349999999999994</v>
      </c>
      <c r="D884" s="2" t="s">
        <v>1772</v>
      </c>
      <c r="H884" s="2" t="s">
        <v>3442</v>
      </c>
      <c r="J884" s="7" t="str">
        <f t="shared" si="156"/>
        <v>Lakehurst</v>
      </c>
      <c r="K884" s="7" t="str">
        <f t="shared" si="157"/>
        <v xml:space="preserve">NJ  </v>
      </c>
      <c r="L884" s="7" t="str">
        <f t="shared" si="162"/>
        <v xml:space="preserve">NJ </v>
      </c>
      <c r="M884" s="7" t="str">
        <f t="shared" si="163"/>
        <v xml:space="preserve">NJ </v>
      </c>
      <c r="N884" s="9">
        <f t="shared" si="164"/>
        <v>40.03</v>
      </c>
      <c r="O884" s="9">
        <f t="shared" si="165"/>
        <v>74.349999999999994</v>
      </c>
    </row>
    <row r="885" spans="1:15" x14ac:dyDescent="0.2">
      <c r="A885" s="1" t="s">
        <v>1773</v>
      </c>
      <c r="B885" s="2">
        <v>40.020000000000003</v>
      </c>
      <c r="C885" s="2">
        <v>74.599999999999994</v>
      </c>
      <c r="D885" s="2" t="s">
        <v>1774</v>
      </c>
      <c r="E885" s="2" t="s">
        <v>1775</v>
      </c>
      <c r="H885" s="2" t="s">
        <v>3443</v>
      </c>
      <c r="J885" s="7" t="str">
        <f t="shared" si="156"/>
        <v>Mcguire AF</v>
      </c>
      <c r="K885" s="7" t="str">
        <f t="shared" si="157"/>
        <v xml:space="preserve">,NJ </v>
      </c>
      <c r="L885" s="7" t="str">
        <f t="shared" si="162"/>
        <v>,NJ</v>
      </c>
      <c r="M885" s="7" t="str">
        <f t="shared" si="163"/>
        <v>NJ</v>
      </c>
      <c r="N885" s="9">
        <f t="shared" si="164"/>
        <v>40.020000000000003</v>
      </c>
      <c r="O885" s="9">
        <f t="shared" si="165"/>
        <v>74.599999999999994</v>
      </c>
    </row>
    <row r="886" spans="1:15" x14ac:dyDescent="0.2">
      <c r="A886" s="1" t="s">
        <v>1776</v>
      </c>
      <c r="B886" s="2">
        <v>39.369999999999997</v>
      </c>
      <c r="C886" s="2">
        <v>75.069999999999993</v>
      </c>
      <c r="D886" s="2" t="s">
        <v>1777</v>
      </c>
      <c r="H886" s="2" t="s">
        <v>3444</v>
      </c>
      <c r="J886" s="7" t="str">
        <f t="shared" si="156"/>
        <v>Millville</v>
      </c>
      <c r="K886" s="7" t="str">
        <f t="shared" si="157"/>
        <v xml:space="preserve">NJ  </v>
      </c>
      <c r="L886" s="7" t="str">
        <f t="shared" si="162"/>
        <v xml:space="preserve">NJ </v>
      </c>
      <c r="M886" s="7" t="str">
        <f t="shared" si="163"/>
        <v xml:space="preserve">NJ </v>
      </c>
      <c r="N886" s="9">
        <f t="shared" si="164"/>
        <v>39.369999999999997</v>
      </c>
      <c r="O886" s="9">
        <f t="shared" si="165"/>
        <v>75.069999999999993</v>
      </c>
    </row>
    <row r="887" spans="1:15" x14ac:dyDescent="0.2">
      <c r="A887" s="1" t="s">
        <v>1778</v>
      </c>
      <c r="B887" s="2">
        <v>40.799999999999997</v>
      </c>
      <c r="C887" s="2">
        <v>74.42</v>
      </c>
      <c r="D887" s="2" t="s">
        <v>1779</v>
      </c>
      <c r="H887" s="2" t="s">
        <v>3445</v>
      </c>
      <c r="J887" s="7" t="str">
        <f t="shared" si="156"/>
        <v>Morristown</v>
      </c>
      <c r="K887" s="7" t="str">
        <f t="shared" si="157"/>
        <v xml:space="preserve">NJ  </v>
      </c>
      <c r="L887" s="7" t="str">
        <f t="shared" si="162"/>
        <v xml:space="preserve">NJ </v>
      </c>
      <c r="M887" s="7" t="str">
        <f t="shared" si="163"/>
        <v xml:space="preserve">NJ </v>
      </c>
      <c r="N887" s="9">
        <f t="shared" si="164"/>
        <v>40.799999999999997</v>
      </c>
      <c r="O887" s="9">
        <f t="shared" si="165"/>
        <v>74.42</v>
      </c>
    </row>
    <row r="888" spans="1:15" x14ac:dyDescent="0.2">
      <c r="A888" s="1" t="s">
        <v>1780</v>
      </c>
      <c r="B888" s="2">
        <v>40.700000000000003</v>
      </c>
      <c r="C888" s="2">
        <v>74.17</v>
      </c>
      <c r="D888" s="2" t="s">
        <v>1781</v>
      </c>
      <c r="E888" s="2" t="s">
        <v>1782</v>
      </c>
      <c r="H888" s="2" t="s">
        <v>3446</v>
      </c>
      <c r="J888" s="7" t="str">
        <f t="shared" si="156"/>
        <v>Newark Int</v>
      </c>
      <c r="K888" s="7" t="str">
        <f t="shared" si="157"/>
        <v xml:space="preserve">,NJ </v>
      </c>
      <c r="L888" s="7" t="str">
        <f t="shared" si="162"/>
        <v>,NJ</v>
      </c>
      <c r="M888" s="7" t="str">
        <f t="shared" si="163"/>
        <v>NJ</v>
      </c>
      <c r="N888" s="9">
        <f t="shared" si="164"/>
        <v>40.700000000000003</v>
      </c>
      <c r="O888" s="9">
        <f t="shared" si="165"/>
        <v>74.17</v>
      </c>
    </row>
    <row r="889" spans="1:15" x14ac:dyDescent="0.2">
      <c r="A889" s="1" t="s">
        <v>1783</v>
      </c>
      <c r="B889" s="2">
        <v>40.85</v>
      </c>
      <c r="C889" s="2">
        <v>74.05</v>
      </c>
      <c r="D889" s="2" t="s">
        <v>1784</v>
      </c>
      <c r="H889" s="2" t="s">
        <v>3447</v>
      </c>
      <c r="J889" s="7" t="str">
        <f t="shared" si="156"/>
        <v>Teterboro</v>
      </c>
      <c r="K889" s="7" t="str">
        <f t="shared" si="157"/>
        <v xml:space="preserve">NJ  </v>
      </c>
      <c r="L889" s="7" t="str">
        <f t="shared" si="162"/>
        <v xml:space="preserve">NJ </v>
      </c>
      <c r="M889" s="7" t="str">
        <f t="shared" si="163"/>
        <v xml:space="preserve">NJ </v>
      </c>
      <c r="N889" s="9">
        <f t="shared" si="164"/>
        <v>40.85</v>
      </c>
      <c r="O889" s="9">
        <f t="shared" si="165"/>
        <v>74.05</v>
      </c>
    </row>
    <row r="890" spans="1:15" x14ac:dyDescent="0.2">
      <c r="A890" s="1" t="s">
        <v>1785</v>
      </c>
      <c r="B890" s="2">
        <v>40.28</v>
      </c>
      <c r="C890" s="2">
        <v>74.819999999999993</v>
      </c>
      <c r="D890" s="2" t="s">
        <v>1786</v>
      </c>
      <c r="H890" s="2" t="s">
        <v>3448</v>
      </c>
      <c r="J890" s="7" t="str">
        <f t="shared" si="156"/>
        <v>Trenton</v>
      </c>
      <c r="K890" s="7" t="str">
        <f t="shared" si="157"/>
        <v xml:space="preserve">NJ  </v>
      </c>
      <c r="L890" s="7" t="str">
        <f t="shared" si="162"/>
        <v xml:space="preserve">NJ </v>
      </c>
      <c r="M890" s="7" t="str">
        <f t="shared" si="163"/>
        <v xml:space="preserve">NJ </v>
      </c>
      <c r="N890" s="9">
        <f t="shared" si="164"/>
        <v>40.28</v>
      </c>
      <c r="O890" s="9">
        <f t="shared" si="165"/>
        <v>74.819999999999993</v>
      </c>
    </row>
    <row r="891" spans="1:15" x14ac:dyDescent="0.2">
      <c r="A891" s="4"/>
      <c r="H891" s="2" t="s">
        <v>2726</v>
      </c>
      <c r="J891" s="7"/>
      <c r="K891" s="7"/>
      <c r="L891" s="7"/>
      <c r="M891" s="7"/>
      <c r="N891" s="9"/>
      <c r="O891" s="9"/>
    </row>
    <row r="892" spans="1:15" x14ac:dyDescent="0.2">
      <c r="A892" s="1" t="s">
        <v>44</v>
      </c>
      <c r="B892" s="2" t="s">
        <v>47</v>
      </c>
      <c r="H892" s="2" t="s">
        <v>2726</v>
      </c>
      <c r="J892" s="7"/>
      <c r="K892" s="7"/>
      <c r="L892" s="7"/>
      <c r="M892" s="7"/>
      <c r="N892" s="9"/>
      <c r="O892" s="9"/>
    </row>
    <row r="893" spans="1:15" x14ac:dyDescent="0.2">
      <c r="A893" s="4"/>
      <c r="H893" s="2" t="s">
        <v>2726</v>
      </c>
      <c r="J893" s="7"/>
      <c r="K893" s="7"/>
      <c r="L893" s="7"/>
      <c r="M893" s="7"/>
      <c r="N893" s="9"/>
      <c r="O893" s="9"/>
    </row>
    <row r="894" spans="1:15" x14ac:dyDescent="0.2">
      <c r="A894" s="1" t="s">
        <v>1787</v>
      </c>
      <c r="B894" s="2">
        <v>35.049999999999997</v>
      </c>
      <c r="C894" s="2">
        <v>106.6</v>
      </c>
      <c r="D894" s="2" t="s">
        <v>1788</v>
      </c>
      <c r="H894" s="2" t="s">
        <v>3449</v>
      </c>
      <c r="J894" s="7" t="str">
        <f t="shared" si="156"/>
        <v>Albuquerque</v>
      </c>
      <c r="K894" s="7" t="str">
        <f t="shared" si="157"/>
        <v xml:space="preserve">NM  </v>
      </c>
      <c r="L894" s="7" t="str">
        <f t="shared" ref="L894:L919" si="166">LEFT(K894,LEN(K894)-1)</f>
        <v xml:space="preserve">NM </v>
      </c>
      <c r="M894" s="7" t="str">
        <f t="shared" ref="M894:M919" si="167">SUBSTITUTE(L894,",","")</f>
        <v xml:space="preserve">NM </v>
      </c>
      <c r="N894" s="9">
        <f t="shared" ref="N894:N919" si="168">B894</f>
        <v>35.049999999999997</v>
      </c>
      <c r="O894" s="9">
        <f t="shared" ref="O894:O919" si="169">C894</f>
        <v>106.6</v>
      </c>
    </row>
    <row r="895" spans="1:15" x14ac:dyDescent="0.2">
      <c r="A895" s="1" t="s">
        <v>1789</v>
      </c>
      <c r="B895" s="2">
        <v>34.380000000000003</v>
      </c>
      <c r="C895" s="2">
        <v>103.32</v>
      </c>
      <c r="D895" s="2" t="s">
        <v>1790</v>
      </c>
      <c r="H895" s="2" t="s">
        <v>3450</v>
      </c>
      <c r="J895" s="7" t="str">
        <f t="shared" si="156"/>
        <v>Cannon</v>
      </c>
      <c r="K895" s="7" t="str">
        <f t="shared" si="157"/>
        <v xml:space="preserve">NM  </v>
      </c>
      <c r="L895" s="7" t="str">
        <f t="shared" si="166"/>
        <v xml:space="preserve">NM </v>
      </c>
      <c r="M895" s="7" t="str">
        <f t="shared" si="167"/>
        <v xml:space="preserve">NM </v>
      </c>
      <c r="N895" s="9">
        <f t="shared" si="168"/>
        <v>34.380000000000003</v>
      </c>
      <c r="O895" s="9">
        <f t="shared" si="169"/>
        <v>103.32</v>
      </c>
    </row>
    <row r="896" spans="1:15" x14ac:dyDescent="0.2">
      <c r="A896" s="1" t="s">
        <v>1791</v>
      </c>
      <c r="B896" s="2">
        <v>32.33</v>
      </c>
      <c r="C896" s="2">
        <v>104.27</v>
      </c>
      <c r="D896" s="2" t="s">
        <v>1792</v>
      </c>
      <c r="H896" s="2" t="s">
        <v>3451</v>
      </c>
      <c r="J896" s="7" t="str">
        <f t="shared" si="156"/>
        <v>Carlsbad</v>
      </c>
      <c r="K896" s="7" t="str">
        <f t="shared" si="157"/>
        <v xml:space="preserve">NM  </v>
      </c>
      <c r="L896" s="7" t="str">
        <f t="shared" si="166"/>
        <v xml:space="preserve">NM </v>
      </c>
      <c r="M896" s="7" t="str">
        <f t="shared" si="167"/>
        <v xml:space="preserve">NM </v>
      </c>
      <c r="N896" s="9">
        <f t="shared" si="168"/>
        <v>32.33</v>
      </c>
      <c r="O896" s="9">
        <f t="shared" si="169"/>
        <v>104.27</v>
      </c>
    </row>
    <row r="897" spans="1:15" x14ac:dyDescent="0.2">
      <c r="A897" s="1" t="s">
        <v>1793</v>
      </c>
      <c r="B897" s="2">
        <v>36.450000000000003</v>
      </c>
      <c r="C897" s="2">
        <v>103.15</v>
      </c>
      <c r="D897" s="2" t="s">
        <v>1794</v>
      </c>
      <c r="E897" s="2" t="s">
        <v>1795</v>
      </c>
      <c r="H897" s="2" t="s">
        <v>3452</v>
      </c>
      <c r="J897" s="7" t="str">
        <f t="shared" si="156"/>
        <v>Clayton Arp</v>
      </c>
      <c r="K897" s="7" t="str">
        <f t="shared" si="157"/>
        <v xml:space="preserve">,NM </v>
      </c>
      <c r="L897" s="7" t="str">
        <f t="shared" si="166"/>
        <v>,NM</v>
      </c>
      <c r="M897" s="7" t="str">
        <f t="shared" si="167"/>
        <v>NM</v>
      </c>
      <c r="N897" s="9">
        <f t="shared" si="168"/>
        <v>36.450000000000003</v>
      </c>
      <c r="O897" s="9">
        <f t="shared" si="169"/>
        <v>103.15</v>
      </c>
    </row>
    <row r="898" spans="1:15" x14ac:dyDescent="0.2">
      <c r="A898" s="1" t="s">
        <v>1796</v>
      </c>
      <c r="B898" s="2">
        <v>34.1</v>
      </c>
      <c r="C898" s="2">
        <v>105.68</v>
      </c>
      <c r="D898" s="2" t="s">
        <v>1797</v>
      </c>
      <c r="H898" s="2" t="s">
        <v>3453</v>
      </c>
      <c r="J898" s="7" t="str">
        <f t="shared" si="156"/>
        <v>Corona</v>
      </c>
      <c r="K898" s="7" t="str">
        <f t="shared" si="157"/>
        <v xml:space="preserve">NM  </v>
      </c>
      <c r="L898" s="7" t="str">
        <f t="shared" si="166"/>
        <v xml:space="preserve">NM </v>
      </c>
      <c r="M898" s="7" t="str">
        <f t="shared" si="167"/>
        <v xml:space="preserve">NM </v>
      </c>
      <c r="N898" s="9">
        <f t="shared" si="168"/>
        <v>34.1</v>
      </c>
      <c r="O898" s="9">
        <f t="shared" si="169"/>
        <v>105.68</v>
      </c>
    </row>
    <row r="899" spans="1:15" x14ac:dyDescent="0.2">
      <c r="A899" s="1" t="s">
        <v>1798</v>
      </c>
      <c r="B899" s="2">
        <v>36.020000000000003</v>
      </c>
      <c r="C899" s="2">
        <v>106.95</v>
      </c>
      <c r="D899" s="2" t="s">
        <v>1799</v>
      </c>
      <c r="E899" s="2" t="s">
        <v>1800</v>
      </c>
      <c r="H899" s="2" t="s">
        <v>3454</v>
      </c>
      <c r="J899" s="7" t="str">
        <f t="shared" si="156"/>
        <v>Cuba Awr</v>
      </c>
      <c r="K899" s="7" t="str">
        <f t="shared" si="157"/>
        <v xml:space="preserve">,NM </v>
      </c>
      <c r="L899" s="7" t="str">
        <f t="shared" si="166"/>
        <v>,NM</v>
      </c>
      <c r="M899" s="7" t="str">
        <f t="shared" si="167"/>
        <v>NM</v>
      </c>
      <c r="N899" s="9">
        <f t="shared" si="168"/>
        <v>36.020000000000003</v>
      </c>
      <c r="O899" s="9">
        <f t="shared" si="169"/>
        <v>106.95</v>
      </c>
    </row>
    <row r="900" spans="1:15" x14ac:dyDescent="0.2">
      <c r="A900" s="1" t="s">
        <v>1801</v>
      </c>
      <c r="B900" s="2">
        <v>32.25</v>
      </c>
      <c r="C900" s="2">
        <v>107.7</v>
      </c>
      <c r="D900" s="2" t="s">
        <v>1802</v>
      </c>
      <c r="H900" s="2" t="s">
        <v>3455</v>
      </c>
      <c r="J900" s="7" t="str">
        <f t="shared" si="156"/>
        <v>Deming</v>
      </c>
      <c r="K900" s="7" t="str">
        <f t="shared" si="157"/>
        <v xml:space="preserve">NM  </v>
      </c>
      <c r="L900" s="7" t="str">
        <f t="shared" si="166"/>
        <v xml:space="preserve">NM </v>
      </c>
      <c r="M900" s="7" t="str">
        <f t="shared" si="167"/>
        <v xml:space="preserve">NM </v>
      </c>
      <c r="N900" s="9">
        <f t="shared" si="168"/>
        <v>32.25</v>
      </c>
      <c r="O900" s="9">
        <f t="shared" si="169"/>
        <v>107.7</v>
      </c>
    </row>
    <row r="901" spans="1:15" x14ac:dyDescent="0.2">
      <c r="A901" s="1" t="s">
        <v>1803</v>
      </c>
      <c r="B901" s="2">
        <v>36.75</v>
      </c>
      <c r="C901" s="2">
        <v>108.23</v>
      </c>
      <c r="D901" s="2" t="s">
        <v>1804</v>
      </c>
      <c r="H901" s="2" t="s">
        <v>3456</v>
      </c>
      <c r="J901" s="7" t="str">
        <f t="shared" si="156"/>
        <v>Farmington</v>
      </c>
      <c r="K901" s="7" t="str">
        <f t="shared" si="157"/>
        <v xml:space="preserve">NM  </v>
      </c>
      <c r="L901" s="7" t="str">
        <f t="shared" si="166"/>
        <v xml:space="preserve">NM </v>
      </c>
      <c r="M901" s="7" t="str">
        <f t="shared" si="167"/>
        <v xml:space="preserve">NM </v>
      </c>
      <c r="N901" s="9">
        <f t="shared" si="168"/>
        <v>36.75</v>
      </c>
      <c r="O901" s="9">
        <f t="shared" si="169"/>
        <v>108.23</v>
      </c>
    </row>
    <row r="902" spans="1:15" x14ac:dyDescent="0.2">
      <c r="A902" s="1" t="s">
        <v>1805</v>
      </c>
      <c r="B902" s="2">
        <v>35.520000000000003</v>
      </c>
      <c r="C902" s="2">
        <v>108.78</v>
      </c>
      <c r="D902" s="2" t="s">
        <v>1806</v>
      </c>
      <c r="H902" s="2" t="s">
        <v>3457</v>
      </c>
      <c r="J902" s="7" t="str">
        <f t="shared" si="156"/>
        <v>Gallup/Clark</v>
      </c>
      <c r="K902" s="7" t="str">
        <f t="shared" si="157"/>
        <v xml:space="preserve">NM  </v>
      </c>
      <c r="L902" s="7" t="str">
        <f t="shared" si="166"/>
        <v xml:space="preserve">NM </v>
      </c>
      <c r="M902" s="7" t="str">
        <f t="shared" si="167"/>
        <v xml:space="preserve">NM </v>
      </c>
      <c r="N902" s="9">
        <f t="shared" si="168"/>
        <v>35.520000000000003</v>
      </c>
      <c r="O902" s="9">
        <f t="shared" si="169"/>
        <v>108.78</v>
      </c>
    </row>
    <row r="903" spans="1:15" x14ac:dyDescent="0.2">
      <c r="A903" s="1" t="s">
        <v>1807</v>
      </c>
      <c r="B903" s="2">
        <v>35.17</v>
      </c>
      <c r="C903" s="2">
        <v>107.9</v>
      </c>
      <c r="D903" s="2" t="s">
        <v>1808</v>
      </c>
      <c r="H903" s="2" t="s">
        <v>3458</v>
      </c>
      <c r="J903" s="7" t="str">
        <f t="shared" si="156"/>
        <v>Grants</v>
      </c>
      <c r="K903" s="7" t="str">
        <f t="shared" si="157"/>
        <v xml:space="preserve">NM  </v>
      </c>
      <c r="L903" s="7" t="str">
        <f t="shared" si="166"/>
        <v xml:space="preserve">NM </v>
      </c>
      <c r="M903" s="7" t="str">
        <f t="shared" si="167"/>
        <v xml:space="preserve">NM </v>
      </c>
      <c r="N903" s="9">
        <f t="shared" si="168"/>
        <v>35.17</v>
      </c>
      <c r="O903" s="9">
        <f t="shared" si="169"/>
        <v>107.9</v>
      </c>
    </row>
    <row r="904" spans="1:15" x14ac:dyDescent="0.2">
      <c r="A904" s="1" t="s">
        <v>1809</v>
      </c>
      <c r="B904" s="2">
        <v>32.68</v>
      </c>
      <c r="C904" s="2">
        <v>103.2</v>
      </c>
      <c r="D904" s="2" t="s">
        <v>1810</v>
      </c>
      <c r="H904" s="2" t="s">
        <v>3459</v>
      </c>
      <c r="J904" s="7" t="str">
        <f t="shared" si="156"/>
        <v>Hobbs</v>
      </c>
      <c r="K904" s="7" t="str">
        <f t="shared" si="157"/>
        <v xml:space="preserve">NM  </v>
      </c>
      <c r="L904" s="7" t="str">
        <f t="shared" si="166"/>
        <v xml:space="preserve">NM </v>
      </c>
      <c r="M904" s="7" t="str">
        <f t="shared" si="167"/>
        <v xml:space="preserve">NM </v>
      </c>
      <c r="N904" s="9">
        <f t="shared" si="168"/>
        <v>32.68</v>
      </c>
      <c r="O904" s="9">
        <f t="shared" si="169"/>
        <v>103.2</v>
      </c>
    </row>
    <row r="905" spans="1:15" x14ac:dyDescent="0.2">
      <c r="A905" s="1" t="s">
        <v>1811</v>
      </c>
      <c r="B905" s="2">
        <v>32.85</v>
      </c>
      <c r="C905" s="2">
        <v>106.1</v>
      </c>
      <c r="D905" s="2" t="s">
        <v>1812</v>
      </c>
      <c r="E905" s="2" t="s">
        <v>1813</v>
      </c>
      <c r="H905" s="2" t="s">
        <v>3460</v>
      </c>
      <c r="J905" s="7" t="str">
        <f t="shared" si="156"/>
        <v>Holloman AF</v>
      </c>
      <c r="K905" s="7" t="str">
        <f t="shared" si="157"/>
        <v xml:space="preserve">,NM </v>
      </c>
      <c r="L905" s="7" t="str">
        <f t="shared" si="166"/>
        <v>,NM</v>
      </c>
      <c r="M905" s="7" t="str">
        <f t="shared" si="167"/>
        <v>NM</v>
      </c>
      <c r="N905" s="9">
        <f t="shared" si="168"/>
        <v>32.85</v>
      </c>
      <c r="O905" s="9">
        <f t="shared" si="169"/>
        <v>106.1</v>
      </c>
    </row>
    <row r="906" spans="1:15" x14ac:dyDescent="0.2">
      <c r="A906" s="1" t="s">
        <v>1814</v>
      </c>
      <c r="B906" s="2">
        <v>32.299999999999997</v>
      </c>
      <c r="C906" s="2">
        <v>106.77</v>
      </c>
      <c r="D906" s="2" t="s">
        <v>1717</v>
      </c>
      <c r="E906" s="2" t="s">
        <v>1815</v>
      </c>
      <c r="H906" s="2" t="s">
        <v>3461</v>
      </c>
      <c r="J906" s="7" t="str">
        <f t="shared" si="156"/>
        <v>Las Cruce</v>
      </c>
      <c r="K906" s="7" t="str">
        <f t="shared" si="157"/>
        <v xml:space="preserve">,NM </v>
      </c>
      <c r="L906" s="7" t="str">
        <f t="shared" si="166"/>
        <v>,NM</v>
      </c>
      <c r="M906" s="7" t="str">
        <f t="shared" si="167"/>
        <v>NM</v>
      </c>
      <c r="N906" s="9">
        <f t="shared" si="168"/>
        <v>32.299999999999997</v>
      </c>
      <c r="O906" s="9">
        <f t="shared" si="169"/>
        <v>106.77</v>
      </c>
    </row>
    <row r="907" spans="1:15" x14ac:dyDescent="0.2">
      <c r="A907" s="1" t="s">
        <v>1816</v>
      </c>
      <c r="B907" s="2">
        <v>35.65</v>
      </c>
      <c r="C907" s="2">
        <v>105.15</v>
      </c>
      <c r="D907" s="2" t="s">
        <v>1717</v>
      </c>
      <c r="E907" s="2" t="s">
        <v>1817</v>
      </c>
      <c r="H907" s="2" t="s">
        <v>3462</v>
      </c>
      <c r="J907" s="7" t="str">
        <f t="shared" si="156"/>
        <v>Las Vega</v>
      </c>
      <c r="K907" s="7" t="str">
        <f t="shared" si="157"/>
        <v xml:space="preserve">,NM </v>
      </c>
      <c r="L907" s="7" t="str">
        <f t="shared" si="166"/>
        <v>,NM</v>
      </c>
      <c r="M907" s="7" t="str">
        <f t="shared" si="167"/>
        <v>NM</v>
      </c>
      <c r="N907" s="9">
        <f t="shared" si="168"/>
        <v>35.65</v>
      </c>
      <c r="O907" s="9">
        <f t="shared" si="169"/>
        <v>105.15</v>
      </c>
    </row>
    <row r="908" spans="1:15" x14ac:dyDescent="0.2">
      <c r="A908" s="1" t="s">
        <v>1818</v>
      </c>
      <c r="B908" s="2">
        <v>35.880000000000003</v>
      </c>
      <c r="C908" s="2">
        <v>106.28</v>
      </c>
      <c r="D908" s="2" t="s">
        <v>522</v>
      </c>
      <c r="E908" s="2" t="s">
        <v>1819</v>
      </c>
      <c r="H908" s="2" t="s">
        <v>3463</v>
      </c>
      <c r="J908" s="7" t="str">
        <f t="shared" si="156"/>
        <v>Los Alamo</v>
      </c>
      <c r="K908" s="7" t="str">
        <f t="shared" si="157"/>
        <v xml:space="preserve">,NM </v>
      </c>
      <c r="L908" s="7" t="str">
        <f t="shared" si="166"/>
        <v>,NM</v>
      </c>
      <c r="M908" s="7" t="str">
        <f t="shared" si="167"/>
        <v>NM</v>
      </c>
      <c r="N908" s="9">
        <f t="shared" si="168"/>
        <v>35.880000000000003</v>
      </c>
      <c r="O908" s="9">
        <f t="shared" si="169"/>
        <v>106.28</v>
      </c>
    </row>
    <row r="909" spans="1:15" x14ac:dyDescent="0.2">
      <c r="A909" s="1" t="s">
        <v>1820</v>
      </c>
      <c r="B909" s="2">
        <v>34.979999999999997</v>
      </c>
      <c r="C909" s="2">
        <v>106.05</v>
      </c>
      <c r="D909" s="2" t="s">
        <v>1821</v>
      </c>
      <c r="H909" s="2" t="s">
        <v>3464</v>
      </c>
      <c r="J909" s="7" t="str">
        <f t="shared" si="156"/>
        <v>Moriarity</v>
      </c>
      <c r="K909" s="7" t="str">
        <f t="shared" si="157"/>
        <v xml:space="preserve">NM  </v>
      </c>
      <c r="L909" s="7" t="str">
        <f t="shared" si="166"/>
        <v xml:space="preserve">NM </v>
      </c>
      <c r="M909" s="7" t="str">
        <f t="shared" si="167"/>
        <v xml:space="preserve">NM </v>
      </c>
      <c r="N909" s="9">
        <f t="shared" si="168"/>
        <v>34.979999999999997</v>
      </c>
      <c r="O909" s="9">
        <f t="shared" si="169"/>
        <v>106.05</v>
      </c>
    </row>
    <row r="910" spans="1:15" x14ac:dyDescent="0.2">
      <c r="A910" s="1" t="s">
        <v>1822</v>
      </c>
      <c r="B910" s="2">
        <v>32.9</v>
      </c>
      <c r="C910" s="2">
        <v>106.4</v>
      </c>
      <c r="D910" s="2" t="s">
        <v>1823</v>
      </c>
      <c r="E910" s="2" t="s">
        <v>1824</v>
      </c>
      <c r="H910" s="2" t="s">
        <v>3465</v>
      </c>
      <c r="J910" s="7" t="str">
        <f t="shared" si="156"/>
        <v>Northrup St</v>
      </c>
      <c r="K910" s="7" t="str">
        <f t="shared" si="157"/>
        <v xml:space="preserve">,NM </v>
      </c>
      <c r="L910" s="7" t="str">
        <f t="shared" si="166"/>
        <v>,NM</v>
      </c>
      <c r="M910" s="7" t="str">
        <f t="shared" si="167"/>
        <v>NM</v>
      </c>
      <c r="N910" s="9">
        <f t="shared" si="168"/>
        <v>32.9</v>
      </c>
      <c r="O910" s="9">
        <f t="shared" si="169"/>
        <v>106.4</v>
      </c>
    </row>
    <row r="911" spans="1:15" x14ac:dyDescent="0.2">
      <c r="A911" s="1" t="s">
        <v>1825</v>
      </c>
      <c r="B911" s="2">
        <v>36.74</v>
      </c>
      <c r="C911" s="2">
        <v>104.5</v>
      </c>
      <c r="D911" s="2" t="s">
        <v>1826</v>
      </c>
      <c r="H911" s="2" t="s">
        <v>3466</v>
      </c>
      <c r="J911" s="7" t="str">
        <f t="shared" si="156"/>
        <v>Raton</v>
      </c>
      <c r="K911" s="7" t="str">
        <f t="shared" si="157"/>
        <v xml:space="preserve">NM  </v>
      </c>
      <c r="L911" s="7" t="str">
        <f t="shared" si="166"/>
        <v xml:space="preserve">NM </v>
      </c>
      <c r="M911" s="7" t="str">
        <f t="shared" si="167"/>
        <v xml:space="preserve">NM </v>
      </c>
      <c r="N911" s="9">
        <f t="shared" si="168"/>
        <v>36.74</v>
      </c>
      <c r="O911" s="9">
        <f t="shared" si="169"/>
        <v>104.5</v>
      </c>
    </row>
    <row r="912" spans="1:15" x14ac:dyDescent="0.2">
      <c r="A912" s="1" t="s">
        <v>1827</v>
      </c>
      <c r="B912" s="2">
        <v>33.299999999999997</v>
      </c>
      <c r="C912" s="2">
        <v>104.53</v>
      </c>
      <c r="D912" s="2" t="s">
        <v>1828</v>
      </c>
      <c r="H912" s="2" t="s">
        <v>3467</v>
      </c>
      <c r="J912" s="7" t="str">
        <f t="shared" si="156"/>
        <v>Roswell</v>
      </c>
      <c r="K912" s="7" t="str">
        <f t="shared" si="157"/>
        <v xml:space="preserve">NM  </v>
      </c>
      <c r="L912" s="7" t="str">
        <f t="shared" si="166"/>
        <v xml:space="preserve">NM </v>
      </c>
      <c r="M912" s="7" t="str">
        <f t="shared" si="167"/>
        <v xml:space="preserve">NM </v>
      </c>
      <c r="N912" s="9">
        <f t="shared" si="168"/>
        <v>33.299999999999997</v>
      </c>
      <c r="O912" s="9">
        <f t="shared" si="169"/>
        <v>104.53</v>
      </c>
    </row>
    <row r="913" spans="1:15" x14ac:dyDescent="0.2">
      <c r="A913" s="1" t="s">
        <v>1829</v>
      </c>
      <c r="B913" s="2">
        <v>35.619999999999997</v>
      </c>
      <c r="C913" s="2">
        <v>106.08</v>
      </c>
      <c r="D913" s="2" t="s">
        <v>637</v>
      </c>
      <c r="E913" s="2" t="s">
        <v>1830</v>
      </c>
      <c r="H913" s="2" t="s">
        <v>3468</v>
      </c>
      <c r="J913" s="7" t="str">
        <f t="shared" si="156"/>
        <v>Santa F</v>
      </c>
      <c r="K913" s="7" t="str">
        <f t="shared" si="157"/>
        <v xml:space="preserve">,NM </v>
      </c>
      <c r="L913" s="7" t="str">
        <f t="shared" si="166"/>
        <v>,NM</v>
      </c>
      <c r="M913" s="7" t="str">
        <f t="shared" si="167"/>
        <v>NM</v>
      </c>
      <c r="N913" s="9">
        <f t="shared" si="168"/>
        <v>35.619999999999997</v>
      </c>
      <c r="O913" s="9">
        <f t="shared" si="169"/>
        <v>106.08</v>
      </c>
    </row>
    <row r="914" spans="1:15" x14ac:dyDescent="0.2">
      <c r="A914" s="1" t="s">
        <v>1831</v>
      </c>
      <c r="B914" s="2">
        <v>32.630000000000003</v>
      </c>
      <c r="C914" s="2">
        <v>108.17</v>
      </c>
      <c r="D914" s="2" t="s">
        <v>1832</v>
      </c>
      <c r="E914" s="2" t="s">
        <v>1833</v>
      </c>
      <c r="H914" s="2" t="s">
        <v>3469</v>
      </c>
      <c r="J914" s="7" t="str">
        <f t="shared" si="156"/>
        <v>Silver Cit</v>
      </c>
      <c r="K914" s="7" t="str">
        <f t="shared" si="157"/>
        <v xml:space="preserve">,NM </v>
      </c>
      <c r="L914" s="7" t="str">
        <f t="shared" si="166"/>
        <v>,NM</v>
      </c>
      <c r="M914" s="7" t="str">
        <f t="shared" si="167"/>
        <v>NM</v>
      </c>
      <c r="N914" s="9">
        <f t="shared" si="168"/>
        <v>32.630000000000003</v>
      </c>
      <c r="O914" s="9">
        <f t="shared" si="169"/>
        <v>108.17</v>
      </c>
    </row>
    <row r="915" spans="1:15" x14ac:dyDescent="0.2">
      <c r="A915" s="1" t="s">
        <v>1834</v>
      </c>
      <c r="B915" s="2">
        <v>34.07</v>
      </c>
      <c r="C915" s="2">
        <v>106.9</v>
      </c>
      <c r="D915" s="2" t="s">
        <v>1835</v>
      </c>
      <c r="H915" s="2" t="s">
        <v>3470</v>
      </c>
      <c r="J915" s="7" t="str">
        <f t="shared" si="156"/>
        <v>Socorro</v>
      </c>
      <c r="K915" s="7" t="str">
        <f t="shared" si="157"/>
        <v xml:space="preserve">NM  </v>
      </c>
      <c r="L915" s="7" t="str">
        <f t="shared" si="166"/>
        <v xml:space="preserve">NM </v>
      </c>
      <c r="M915" s="7" t="str">
        <f t="shared" si="167"/>
        <v xml:space="preserve">NM </v>
      </c>
      <c r="N915" s="9">
        <f t="shared" si="168"/>
        <v>34.07</v>
      </c>
      <c r="O915" s="9">
        <f t="shared" si="169"/>
        <v>106.9</v>
      </c>
    </row>
    <row r="916" spans="1:15" x14ac:dyDescent="0.2">
      <c r="A916" s="1" t="s">
        <v>1836</v>
      </c>
      <c r="B916" s="2">
        <v>36.42</v>
      </c>
      <c r="C916" s="2">
        <v>105.57</v>
      </c>
      <c r="D916" s="2" t="s">
        <v>1837</v>
      </c>
      <c r="H916" s="2" t="s">
        <v>3471</v>
      </c>
      <c r="J916" s="7" t="str">
        <f t="shared" si="156"/>
        <v>Taos</v>
      </c>
      <c r="K916" s="7" t="str">
        <f t="shared" si="157"/>
        <v xml:space="preserve">NM  </v>
      </c>
      <c r="L916" s="7" t="str">
        <f t="shared" si="166"/>
        <v xml:space="preserve">NM </v>
      </c>
      <c r="M916" s="7" t="str">
        <f t="shared" si="167"/>
        <v xml:space="preserve">NM </v>
      </c>
      <c r="N916" s="9">
        <f t="shared" si="168"/>
        <v>36.42</v>
      </c>
      <c r="O916" s="9">
        <f t="shared" si="169"/>
        <v>105.57</v>
      </c>
    </row>
    <row r="917" spans="1:15" x14ac:dyDescent="0.2">
      <c r="A917" s="1" t="s">
        <v>1838</v>
      </c>
      <c r="B917" s="2">
        <v>33.229999999999997</v>
      </c>
      <c r="C917" s="2">
        <v>107.27</v>
      </c>
      <c r="D917" s="2" t="s">
        <v>1839</v>
      </c>
      <c r="E917" s="2" t="s">
        <v>1840</v>
      </c>
      <c r="F917" s="2" t="s">
        <v>1841</v>
      </c>
      <c r="H917" s="2" t="s">
        <v>3472</v>
      </c>
      <c r="J917" s="7" t="str">
        <f t="shared" si="156"/>
        <v>Truth Or C</v>
      </c>
      <c r="K917" s="7" t="str">
        <f t="shared" si="157"/>
        <v>n,NM</v>
      </c>
      <c r="L917" s="7" t="str">
        <f t="shared" si="166"/>
        <v>n,N</v>
      </c>
      <c r="M917" s="7" t="str">
        <f t="shared" si="167"/>
        <v>nN</v>
      </c>
      <c r="N917" s="9">
        <f t="shared" si="168"/>
        <v>33.229999999999997</v>
      </c>
      <c r="O917" s="9">
        <f t="shared" si="169"/>
        <v>107.27</v>
      </c>
    </row>
    <row r="918" spans="1:15" x14ac:dyDescent="0.2">
      <c r="A918" s="1" t="s">
        <v>1842</v>
      </c>
      <c r="B918" s="2">
        <v>35.18</v>
      </c>
      <c r="C918" s="2">
        <v>103.6</v>
      </c>
      <c r="D918" s="2" t="s">
        <v>1843</v>
      </c>
      <c r="H918" s="2" t="s">
        <v>3473</v>
      </c>
      <c r="J918" s="7" t="str">
        <f t="shared" ref="J918:J981" si="170">LEFT(H918,LEN(H918)-5)</f>
        <v>Tucumcari</v>
      </c>
      <c r="K918" s="7" t="str">
        <f t="shared" ref="K918:K981" si="171">RIGHT(H918,4)</f>
        <v xml:space="preserve">NM  </v>
      </c>
      <c r="L918" s="7" t="str">
        <f t="shared" si="166"/>
        <v xml:space="preserve">NM </v>
      </c>
      <c r="M918" s="7" t="str">
        <f t="shared" si="167"/>
        <v xml:space="preserve">NM </v>
      </c>
      <c r="N918" s="9">
        <f t="shared" si="168"/>
        <v>35.18</v>
      </c>
      <c r="O918" s="9">
        <f t="shared" si="169"/>
        <v>103.6</v>
      </c>
    </row>
    <row r="919" spans="1:15" x14ac:dyDescent="0.2">
      <c r="A919" s="1" t="s">
        <v>1844</v>
      </c>
      <c r="B919" s="2">
        <v>32.630000000000003</v>
      </c>
      <c r="C919" s="2">
        <v>106.4</v>
      </c>
      <c r="D919" s="2" t="s">
        <v>1845</v>
      </c>
      <c r="E919" s="2" t="s">
        <v>1846</v>
      </c>
      <c r="H919" s="2" t="s">
        <v>3474</v>
      </c>
      <c r="J919" s="7" t="str">
        <f t="shared" si="170"/>
        <v>White Sand</v>
      </c>
      <c r="K919" s="7" t="str">
        <f t="shared" si="171"/>
        <v xml:space="preserve">,NM </v>
      </c>
      <c r="L919" s="7" t="str">
        <f t="shared" si="166"/>
        <v>,NM</v>
      </c>
      <c r="M919" s="7" t="str">
        <f t="shared" si="167"/>
        <v>NM</v>
      </c>
      <c r="N919" s="9">
        <f t="shared" si="168"/>
        <v>32.630000000000003</v>
      </c>
      <c r="O919" s="9">
        <f t="shared" si="169"/>
        <v>106.4</v>
      </c>
    </row>
    <row r="920" spans="1:15" x14ac:dyDescent="0.2">
      <c r="A920" s="4"/>
      <c r="H920" s="2" t="s">
        <v>2726</v>
      </c>
      <c r="J920" s="7"/>
      <c r="K920" s="7"/>
      <c r="L920" s="7"/>
      <c r="M920" s="7"/>
      <c r="N920" s="9"/>
      <c r="O920" s="9"/>
    </row>
    <row r="921" spans="1:15" x14ac:dyDescent="0.2">
      <c r="A921" s="1" t="s">
        <v>44</v>
      </c>
      <c r="B921" s="2" t="s">
        <v>48</v>
      </c>
      <c r="H921" s="2" t="s">
        <v>2726</v>
      </c>
      <c r="J921" s="7"/>
      <c r="K921" s="7"/>
      <c r="L921" s="7"/>
      <c r="M921" s="7"/>
      <c r="N921" s="9"/>
      <c r="O921" s="9"/>
    </row>
    <row r="922" spans="1:15" x14ac:dyDescent="0.2">
      <c r="A922" s="4"/>
      <c r="H922" s="2" t="s">
        <v>2726</v>
      </c>
      <c r="J922" s="7"/>
      <c r="K922" s="7"/>
      <c r="L922" s="7"/>
      <c r="M922" s="7"/>
      <c r="N922" s="9"/>
      <c r="O922" s="9"/>
    </row>
    <row r="923" spans="1:15" x14ac:dyDescent="0.2">
      <c r="A923" s="1" t="s">
        <v>1847</v>
      </c>
      <c r="B923" s="2">
        <v>42.75</v>
      </c>
      <c r="C923" s="2">
        <v>73.8</v>
      </c>
      <c r="D923" s="2" t="s">
        <v>1848</v>
      </c>
      <c r="H923" s="2" t="s">
        <v>3475</v>
      </c>
      <c r="J923" s="7" t="str">
        <f t="shared" si="170"/>
        <v>Albany</v>
      </c>
      <c r="K923" s="7" t="str">
        <f t="shared" si="171"/>
        <v xml:space="preserve">NY  </v>
      </c>
      <c r="L923" s="7" t="str">
        <f t="shared" ref="L923:L955" si="172">LEFT(K923,LEN(K923)-1)</f>
        <v xml:space="preserve">NY </v>
      </c>
      <c r="M923" s="7" t="str">
        <f t="shared" ref="M923:M955" si="173">SUBSTITUTE(L923,",","")</f>
        <v xml:space="preserve">NY </v>
      </c>
      <c r="N923" s="9">
        <f t="shared" ref="N923:N955" si="174">B923</f>
        <v>42.75</v>
      </c>
      <c r="O923" s="9">
        <f t="shared" ref="O923:O955" si="175">C923</f>
        <v>73.8</v>
      </c>
    </row>
    <row r="924" spans="1:15" x14ac:dyDescent="0.2">
      <c r="A924" s="1" t="s">
        <v>1849</v>
      </c>
      <c r="B924" s="2">
        <v>40.75</v>
      </c>
      <c r="C924" s="2">
        <v>74.37</v>
      </c>
      <c r="D924" s="2" t="s">
        <v>1850</v>
      </c>
      <c r="H924" s="2" t="s">
        <v>3476</v>
      </c>
      <c r="J924" s="7" t="str">
        <f t="shared" si="170"/>
        <v>Ambrose</v>
      </c>
      <c r="K924" s="7" t="str">
        <f t="shared" si="171"/>
        <v xml:space="preserve">NY  </v>
      </c>
      <c r="L924" s="7" t="str">
        <f t="shared" si="172"/>
        <v xml:space="preserve">NY </v>
      </c>
      <c r="M924" s="7" t="str">
        <f t="shared" si="173"/>
        <v xml:space="preserve">NY </v>
      </c>
      <c r="N924" s="9">
        <f t="shared" si="174"/>
        <v>40.75</v>
      </c>
      <c r="O924" s="9">
        <f t="shared" si="175"/>
        <v>74.37</v>
      </c>
    </row>
    <row r="925" spans="1:15" x14ac:dyDescent="0.2">
      <c r="A925" s="1" t="s">
        <v>1851</v>
      </c>
      <c r="B925" s="2">
        <v>42.22</v>
      </c>
      <c r="C925" s="2">
        <v>75.98</v>
      </c>
      <c r="D925" s="2" t="s">
        <v>1852</v>
      </c>
      <c r="H925" s="2" t="s">
        <v>3477</v>
      </c>
      <c r="J925" s="7" t="str">
        <f t="shared" si="170"/>
        <v>Binghamton</v>
      </c>
      <c r="K925" s="7" t="str">
        <f t="shared" si="171"/>
        <v xml:space="preserve">NY  </v>
      </c>
      <c r="L925" s="7" t="str">
        <f t="shared" si="172"/>
        <v xml:space="preserve">NY </v>
      </c>
      <c r="M925" s="7" t="str">
        <f t="shared" si="173"/>
        <v xml:space="preserve">NY </v>
      </c>
      <c r="N925" s="9">
        <f t="shared" si="174"/>
        <v>42.22</v>
      </c>
      <c r="O925" s="9">
        <f t="shared" si="175"/>
        <v>75.98</v>
      </c>
    </row>
    <row r="926" spans="1:15" x14ac:dyDescent="0.2">
      <c r="A926" s="1" t="s">
        <v>1853</v>
      </c>
      <c r="B926" s="2">
        <v>42.93</v>
      </c>
      <c r="C926" s="2">
        <v>78.73</v>
      </c>
      <c r="D926" s="2" t="s">
        <v>1854</v>
      </c>
      <c r="H926" s="2" t="s">
        <v>3478</v>
      </c>
      <c r="J926" s="7" t="str">
        <f t="shared" si="170"/>
        <v>Buffalo</v>
      </c>
      <c r="K926" s="7" t="str">
        <f t="shared" si="171"/>
        <v xml:space="preserve">NY  </v>
      </c>
      <c r="L926" s="7" t="str">
        <f t="shared" si="172"/>
        <v xml:space="preserve">NY </v>
      </c>
      <c r="M926" s="7" t="str">
        <f t="shared" si="173"/>
        <v xml:space="preserve">NY </v>
      </c>
      <c r="N926" s="9">
        <f t="shared" si="174"/>
        <v>42.93</v>
      </c>
      <c r="O926" s="9">
        <f t="shared" si="175"/>
        <v>78.73</v>
      </c>
    </row>
    <row r="927" spans="1:15" x14ac:dyDescent="0.2">
      <c r="A927" s="1" t="s">
        <v>1855</v>
      </c>
      <c r="B927" s="2">
        <v>42.97</v>
      </c>
      <c r="C927" s="2">
        <v>78.2</v>
      </c>
      <c r="D927" s="2" t="s">
        <v>1856</v>
      </c>
      <c r="H927" s="2" t="s">
        <v>3479</v>
      </c>
      <c r="J927" s="7" t="str">
        <f t="shared" si="170"/>
        <v>Dansville</v>
      </c>
      <c r="K927" s="7" t="str">
        <f t="shared" si="171"/>
        <v xml:space="preserve">NY  </v>
      </c>
      <c r="L927" s="7" t="str">
        <f t="shared" si="172"/>
        <v xml:space="preserve">NY </v>
      </c>
      <c r="M927" s="7" t="str">
        <f t="shared" si="173"/>
        <v xml:space="preserve">NY </v>
      </c>
      <c r="N927" s="9">
        <f t="shared" si="174"/>
        <v>42.97</v>
      </c>
      <c r="O927" s="9">
        <f t="shared" si="175"/>
        <v>78.2</v>
      </c>
    </row>
    <row r="928" spans="1:15" x14ac:dyDescent="0.2">
      <c r="A928" s="1" t="s">
        <v>1857</v>
      </c>
      <c r="B928" s="2">
        <v>42.17</v>
      </c>
      <c r="C928" s="2">
        <v>76.900000000000006</v>
      </c>
      <c r="D928" s="2" t="s">
        <v>1858</v>
      </c>
      <c r="H928" s="2" t="s">
        <v>3480</v>
      </c>
      <c r="J928" s="7" t="str">
        <f t="shared" si="170"/>
        <v>Elmira</v>
      </c>
      <c r="K928" s="7" t="str">
        <f t="shared" si="171"/>
        <v xml:space="preserve">NY  </v>
      </c>
      <c r="L928" s="7" t="str">
        <f t="shared" si="172"/>
        <v xml:space="preserve">NY </v>
      </c>
      <c r="M928" s="7" t="str">
        <f t="shared" si="173"/>
        <v xml:space="preserve">NY </v>
      </c>
      <c r="N928" s="9">
        <f t="shared" si="174"/>
        <v>42.17</v>
      </c>
      <c r="O928" s="9">
        <f t="shared" si="175"/>
        <v>76.900000000000006</v>
      </c>
    </row>
    <row r="929" spans="1:15" x14ac:dyDescent="0.2">
      <c r="A929" s="1" t="s">
        <v>1859</v>
      </c>
      <c r="B929" s="2">
        <v>40.729999999999997</v>
      </c>
      <c r="C929" s="2">
        <v>73.430000000000007</v>
      </c>
      <c r="D929" s="2" t="s">
        <v>1860</v>
      </c>
      <c r="H929" s="2" t="s">
        <v>3481</v>
      </c>
      <c r="J929" s="7" t="str">
        <f t="shared" si="170"/>
        <v>Farmingdale</v>
      </c>
      <c r="K929" s="7" t="str">
        <f t="shared" si="171"/>
        <v xml:space="preserve">NY  </v>
      </c>
      <c r="L929" s="7" t="str">
        <f t="shared" si="172"/>
        <v xml:space="preserve">NY </v>
      </c>
      <c r="M929" s="7" t="str">
        <f t="shared" si="173"/>
        <v xml:space="preserve">NY </v>
      </c>
      <c r="N929" s="9">
        <f t="shared" si="174"/>
        <v>40.729999999999997</v>
      </c>
      <c r="O929" s="9">
        <f t="shared" si="175"/>
        <v>73.430000000000007</v>
      </c>
    </row>
    <row r="930" spans="1:15" x14ac:dyDescent="0.2">
      <c r="A930" s="1" t="s">
        <v>1861</v>
      </c>
      <c r="B930" s="2">
        <v>44.05</v>
      </c>
      <c r="C930" s="2">
        <v>75.73</v>
      </c>
      <c r="D930" s="2" t="s">
        <v>71</v>
      </c>
      <c r="E930" s="2" t="s">
        <v>1862</v>
      </c>
      <c r="H930" s="2" t="s">
        <v>3482</v>
      </c>
      <c r="J930" s="7" t="str">
        <f t="shared" si="170"/>
        <v>Fort Dru</v>
      </c>
      <c r="K930" s="7" t="str">
        <f t="shared" si="171"/>
        <v xml:space="preserve">,NY </v>
      </c>
      <c r="L930" s="7" t="str">
        <f t="shared" si="172"/>
        <v>,NY</v>
      </c>
      <c r="M930" s="7" t="str">
        <f t="shared" si="173"/>
        <v>NY</v>
      </c>
      <c r="N930" s="9">
        <f t="shared" si="174"/>
        <v>44.05</v>
      </c>
      <c r="O930" s="9">
        <f t="shared" si="175"/>
        <v>75.73</v>
      </c>
    </row>
    <row r="931" spans="1:15" x14ac:dyDescent="0.2">
      <c r="A931" s="1" t="s">
        <v>1863</v>
      </c>
      <c r="B931" s="2">
        <v>43.35</v>
      </c>
      <c r="C931" s="2">
        <v>73.62</v>
      </c>
      <c r="D931" s="2" t="s">
        <v>1864</v>
      </c>
      <c r="E931" s="2" t="s">
        <v>1865</v>
      </c>
      <c r="H931" s="2" t="s">
        <v>3483</v>
      </c>
      <c r="J931" s="7" t="str">
        <f t="shared" si="170"/>
        <v>Glens Fall</v>
      </c>
      <c r="K931" s="7" t="str">
        <f t="shared" si="171"/>
        <v xml:space="preserve">,NY </v>
      </c>
      <c r="L931" s="7" t="str">
        <f t="shared" si="172"/>
        <v>,NY</v>
      </c>
      <c r="M931" s="7" t="str">
        <f t="shared" si="173"/>
        <v>NY</v>
      </c>
      <c r="N931" s="9">
        <f t="shared" si="174"/>
        <v>43.35</v>
      </c>
      <c r="O931" s="9">
        <f t="shared" si="175"/>
        <v>73.62</v>
      </c>
    </row>
    <row r="932" spans="1:15" x14ac:dyDescent="0.2">
      <c r="A932" s="1" t="s">
        <v>1866</v>
      </c>
      <c r="B932" s="2">
        <v>43.23</v>
      </c>
      <c r="C932" s="2">
        <v>75.400000000000006</v>
      </c>
      <c r="D932" s="2" t="s">
        <v>1867</v>
      </c>
      <c r="E932" s="2" t="s">
        <v>1868</v>
      </c>
      <c r="H932" s="2" t="s">
        <v>3484</v>
      </c>
      <c r="J932" s="7" t="str">
        <f t="shared" si="170"/>
        <v>Griffiss AF</v>
      </c>
      <c r="K932" s="7" t="str">
        <f t="shared" si="171"/>
        <v xml:space="preserve">,NY </v>
      </c>
      <c r="L932" s="7" t="str">
        <f t="shared" si="172"/>
        <v>,NY</v>
      </c>
      <c r="M932" s="7" t="str">
        <f t="shared" si="173"/>
        <v>NY</v>
      </c>
      <c r="N932" s="9">
        <f t="shared" si="174"/>
        <v>43.23</v>
      </c>
      <c r="O932" s="9">
        <f t="shared" si="175"/>
        <v>75.400000000000006</v>
      </c>
    </row>
    <row r="933" spans="1:15" x14ac:dyDescent="0.2">
      <c r="A933" s="1" t="s">
        <v>1869</v>
      </c>
      <c r="B933" s="2">
        <v>40.78</v>
      </c>
      <c r="C933" s="2">
        <v>73.099999999999994</v>
      </c>
      <c r="D933" s="2" t="s">
        <v>1870</v>
      </c>
      <c r="H933" s="2" t="s">
        <v>3485</v>
      </c>
      <c r="J933" s="7" t="str">
        <f t="shared" si="170"/>
        <v>Islip</v>
      </c>
      <c r="K933" s="7" t="str">
        <f t="shared" si="171"/>
        <v xml:space="preserve">NY  </v>
      </c>
      <c r="L933" s="7" t="str">
        <f t="shared" si="172"/>
        <v xml:space="preserve">NY </v>
      </c>
      <c r="M933" s="7" t="str">
        <f t="shared" si="173"/>
        <v xml:space="preserve">NY </v>
      </c>
      <c r="N933" s="9">
        <f t="shared" si="174"/>
        <v>40.78</v>
      </c>
      <c r="O933" s="9">
        <f t="shared" si="175"/>
        <v>73.099999999999994</v>
      </c>
    </row>
    <row r="934" spans="1:15" x14ac:dyDescent="0.2">
      <c r="A934" s="1" t="s">
        <v>1871</v>
      </c>
      <c r="B934" s="2">
        <v>42.48</v>
      </c>
      <c r="C934" s="2">
        <v>76.47</v>
      </c>
      <c r="D934" s="2" t="s">
        <v>1872</v>
      </c>
      <c r="H934" s="2" t="s">
        <v>3486</v>
      </c>
      <c r="J934" s="7" t="str">
        <f t="shared" si="170"/>
        <v>Ithaca</v>
      </c>
      <c r="K934" s="7" t="str">
        <f t="shared" si="171"/>
        <v xml:space="preserve">NY  </v>
      </c>
      <c r="L934" s="7" t="str">
        <f t="shared" si="172"/>
        <v xml:space="preserve">NY </v>
      </c>
      <c r="M934" s="7" t="str">
        <f t="shared" si="173"/>
        <v xml:space="preserve">NY </v>
      </c>
      <c r="N934" s="9">
        <f t="shared" si="174"/>
        <v>42.48</v>
      </c>
      <c r="O934" s="9">
        <f t="shared" si="175"/>
        <v>76.47</v>
      </c>
    </row>
    <row r="935" spans="1:15" x14ac:dyDescent="0.2">
      <c r="A935" s="1" t="s">
        <v>1873</v>
      </c>
      <c r="B935" s="2">
        <v>42.15</v>
      </c>
      <c r="C935" s="2">
        <v>79.25</v>
      </c>
      <c r="D935" s="2" t="s">
        <v>1874</v>
      </c>
      <c r="H935" s="2" t="s">
        <v>3487</v>
      </c>
      <c r="J935" s="7" t="str">
        <f t="shared" si="170"/>
        <v>Jamestown</v>
      </c>
      <c r="K935" s="7" t="str">
        <f t="shared" si="171"/>
        <v xml:space="preserve">NY  </v>
      </c>
      <c r="L935" s="7" t="str">
        <f t="shared" si="172"/>
        <v xml:space="preserve">NY </v>
      </c>
      <c r="M935" s="7" t="str">
        <f t="shared" si="173"/>
        <v xml:space="preserve">NY </v>
      </c>
      <c r="N935" s="9">
        <f t="shared" si="174"/>
        <v>42.15</v>
      </c>
      <c r="O935" s="9">
        <f t="shared" si="175"/>
        <v>79.25</v>
      </c>
    </row>
    <row r="936" spans="1:15" x14ac:dyDescent="0.2">
      <c r="A936" s="1" t="s">
        <v>1875</v>
      </c>
      <c r="B936" s="2">
        <v>44.93</v>
      </c>
      <c r="C936" s="2">
        <v>74.849999999999994</v>
      </c>
      <c r="D936" s="2" t="s">
        <v>1876</v>
      </c>
      <c r="H936" s="2" t="s">
        <v>3488</v>
      </c>
      <c r="J936" s="7" t="str">
        <f t="shared" si="170"/>
        <v>Massena</v>
      </c>
      <c r="K936" s="7" t="str">
        <f t="shared" si="171"/>
        <v xml:space="preserve">NY  </v>
      </c>
      <c r="L936" s="7" t="str">
        <f t="shared" si="172"/>
        <v xml:space="preserve">NY </v>
      </c>
      <c r="M936" s="7" t="str">
        <f t="shared" si="173"/>
        <v xml:space="preserve">NY </v>
      </c>
      <c r="N936" s="9">
        <f t="shared" si="174"/>
        <v>44.93</v>
      </c>
      <c r="O936" s="9">
        <f t="shared" si="175"/>
        <v>74.849999999999994</v>
      </c>
    </row>
    <row r="937" spans="1:15" x14ac:dyDescent="0.2">
      <c r="A937" s="1" t="s">
        <v>1877</v>
      </c>
      <c r="B937" s="2">
        <v>41.7</v>
      </c>
      <c r="C937" s="2">
        <v>74.8</v>
      </c>
      <c r="D937" s="2" t="s">
        <v>1878</v>
      </c>
      <c r="H937" s="2" t="s">
        <v>3489</v>
      </c>
      <c r="J937" s="7" t="str">
        <f t="shared" si="170"/>
        <v>Monticello</v>
      </c>
      <c r="K937" s="7" t="str">
        <f t="shared" si="171"/>
        <v xml:space="preserve">NY  </v>
      </c>
      <c r="L937" s="7" t="str">
        <f t="shared" si="172"/>
        <v xml:space="preserve">NY </v>
      </c>
      <c r="M937" s="7" t="str">
        <f t="shared" si="173"/>
        <v xml:space="preserve">NY </v>
      </c>
      <c r="N937" s="9">
        <f t="shared" si="174"/>
        <v>41.7</v>
      </c>
      <c r="O937" s="9">
        <f t="shared" si="175"/>
        <v>74.8</v>
      </c>
    </row>
    <row r="938" spans="1:15" x14ac:dyDescent="0.2">
      <c r="A938" s="1" t="s">
        <v>1879</v>
      </c>
      <c r="B938" s="2">
        <v>40.770000000000003</v>
      </c>
      <c r="C938" s="2">
        <v>73.98</v>
      </c>
      <c r="D938" s="2" t="s">
        <v>44</v>
      </c>
      <c r="E938" s="2" t="s">
        <v>1880</v>
      </c>
      <c r="H938" s="2" t="s">
        <v>3490</v>
      </c>
      <c r="J938" s="7" t="str">
        <f t="shared" si="170"/>
        <v>New Yor</v>
      </c>
      <c r="K938" s="7" t="str">
        <f t="shared" si="171"/>
        <v xml:space="preserve">,NY </v>
      </c>
      <c r="L938" s="7" t="str">
        <f t="shared" si="172"/>
        <v>,NY</v>
      </c>
      <c r="M938" s="7" t="str">
        <f t="shared" si="173"/>
        <v>NY</v>
      </c>
      <c r="N938" s="9">
        <f t="shared" si="174"/>
        <v>40.770000000000003</v>
      </c>
      <c r="O938" s="9">
        <f t="shared" si="175"/>
        <v>73.98</v>
      </c>
    </row>
    <row r="939" spans="1:15" x14ac:dyDescent="0.2">
      <c r="A939" s="1" t="s">
        <v>1881</v>
      </c>
      <c r="B939" s="2">
        <v>40.65</v>
      </c>
      <c r="C939" s="2">
        <v>73.78</v>
      </c>
      <c r="D939" s="2" t="s">
        <v>44</v>
      </c>
      <c r="E939" s="2" t="s">
        <v>1882</v>
      </c>
      <c r="H939" s="2" t="s">
        <v>3491</v>
      </c>
      <c r="J939" s="7" t="str">
        <f t="shared" si="170"/>
        <v>New York/JF</v>
      </c>
      <c r="K939" s="7" t="str">
        <f t="shared" si="171"/>
        <v xml:space="preserve">,NY </v>
      </c>
      <c r="L939" s="7" t="str">
        <f t="shared" si="172"/>
        <v>,NY</v>
      </c>
      <c r="M939" s="7" t="str">
        <f t="shared" si="173"/>
        <v>NY</v>
      </c>
      <c r="N939" s="9">
        <f t="shared" si="174"/>
        <v>40.65</v>
      </c>
      <c r="O939" s="9">
        <f t="shared" si="175"/>
        <v>73.78</v>
      </c>
    </row>
    <row r="940" spans="1:15" x14ac:dyDescent="0.2">
      <c r="A940" s="1" t="s">
        <v>1883</v>
      </c>
      <c r="B940" s="2">
        <v>40.770000000000003</v>
      </c>
      <c r="C940" s="2">
        <v>73.900000000000006</v>
      </c>
      <c r="D940" s="2" t="s">
        <v>44</v>
      </c>
      <c r="E940" s="2" t="s">
        <v>1884</v>
      </c>
      <c r="H940" s="2" t="s">
        <v>3492</v>
      </c>
      <c r="J940" s="7" t="str">
        <f t="shared" si="170"/>
        <v>New York/LG</v>
      </c>
      <c r="K940" s="7" t="str">
        <f t="shared" si="171"/>
        <v xml:space="preserve">,NY </v>
      </c>
      <c r="L940" s="7" t="str">
        <f t="shared" si="172"/>
        <v>,NY</v>
      </c>
      <c r="M940" s="7" t="str">
        <f t="shared" si="173"/>
        <v>NY</v>
      </c>
      <c r="N940" s="9">
        <f t="shared" si="174"/>
        <v>40.770000000000003</v>
      </c>
      <c r="O940" s="9">
        <f t="shared" si="175"/>
        <v>73.900000000000006</v>
      </c>
    </row>
    <row r="941" spans="1:15" x14ac:dyDescent="0.2">
      <c r="A941" s="1" t="s">
        <v>1885</v>
      </c>
      <c r="B941" s="2">
        <v>41.5</v>
      </c>
      <c r="C941" s="2">
        <v>74.099999999999994</v>
      </c>
      <c r="D941" s="2" t="s">
        <v>1886</v>
      </c>
      <c r="H941" s="2" t="s">
        <v>3493</v>
      </c>
      <c r="J941" s="7" t="str">
        <f t="shared" si="170"/>
        <v>Newburgh</v>
      </c>
      <c r="K941" s="7" t="str">
        <f t="shared" si="171"/>
        <v xml:space="preserve">NY  </v>
      </c>
      <c r="L941" s="7" t="str">
        <f t="shared" si="172"/>
        <v xml:space="preserve">NY </v>
      </c>
      <c r="M941" s="7" t="str">
        <f t="shared" si="173"/>
        <v xml:space="preserve">NY </v>
      </c>
      <c r="N941" s="9">
        <f t="shared" si="174"/>
        <v>41.5</v>
      </c>
      <c r="O941" s="9">
        <f t="shared" si="175"/>
        <v>74.099999999999994</v>
      </c>
    </row>
    <row r="942" spans="1:15" x14ac:dyDescent="0.2">
      <c r="A942" s="1" t="s">
        <v>1887</v>
      </c>
      <c r="B942" s="2">
        <v>43.1</v>
      </c>
      <c r="C942" s="2">
        <v>78.95</v>
      </c>
      <c r="D942" s="2" t="s">
        <v>1888</v>
      </c>
      <c r="E942" s="2" t="s">
        <v>1889</v>
      </c>
      <c r="H942" s="2" t="s">
        <v>3494</v>
      </c>
      <c r="J942" s="7" t="str">
        <f t="shared" si="170"/>
        <v>Niagara Fal</v>
      </c>
      <c r="K942" s="7" t="str">
        <f t="shared" si="171"/>
        <v xml:space="preserve">,NY </v>
      </c>
      <c r="L942" s="7" t="str">
        <f t="shared" si="172"/>
        <v>,NY</v>
      </c>
      <c r="M942" s="7" t="str">
        <f t="shared" si="173"/>
        <v>NY</v>
      </c>
      <c r="N942" s="9">
        <f t="shared" si="174"/>
        <v>43.1</v>
      </c>
      <c r="O942" s="9">
        <f t="shared" si="175"/>
        <v>78.95</v>
      </c>
    </row>
    <row r="943" spans="1:15" x14ac:dyDescent="0.2">
      <c r="A943" s="1" t="s">
        <v>1890</v>
      </c>
      <c r="B943" s="2">
        <v>44.68</v>
      </c>
      <c r="C943" s="2">
        <v>75.400000000000006</v>
      </c>
      <c r="D943" s="2" t="s">
        <v>1891</v>
      </c>
      <c r="H943" s="2" t="s">
        <v>3495</v>
      </c>
      <c r="J943" s="7" t="str">
        <f t="shared" si="170"/>
        <v>Ogdensburg</v>
      </c>
      <c r="K943" s="7" t="str">
        <f t="shared" si="171"/>
        <v xml:space="preserve">NY  </v>
      </c>
      <c r="L943" s="7" t="str">
        <f t="shared" si="172"/>
        <v xml:space="preserve">NY </v>
      </c>
      <c r="M943" s="7" t="str">
        <f t="shared" si="173"/>
        <v xml:space="preserve">NY </v>
      </c>
      <c r="N943" s="9">
        <f t="shared" si="174"/>
        <v>44.68</v>
      </c>
      <c r="O943" s="9">
        <f t="shared" si="175"/>
        <v>75.400000000000006</v>
      </c>
    </row>
    <row r="944" spans="1:15" x14ac:dyDescent="0.2">
      <c r="A944" s="1" t="s">
        <v>1892</v>
      </c>
      <c r="B944" s="2">
        <v>42.87</v>
      </c>
      <c r="C944" s="2">
        <v>75.12</v>
      </c>
      <c r="D944" s="2" t="s">
        <v>1893</v>
      </c>
      <c r="H944" s="2" t="s">
        <v>3496</v>
      </c>
      <c r="J944" s="7" t="str">
        <f t="shared" si="170"/>
        <v>Oneonta</v>
      </c>
      <c r="K944" s="7" t="str">
        <f t="shared" si="171"/>
        <v xml:space="preserve">NY  </v>
      </c>
      <c r="L944" s="7" t="str">
        <f t="shared" si="172"/>
        <v xml:space="preserve">NY </v>
      </c>
      <c r="M944" s="7" t="str">
        <f t="shared" si="173"/>
        <v xml:space="preserve">NY </v>
      </c>
      <c r="N944" s="9">
        <f t="shared" si="174"/>
        <v>42.87</v>
      </c>
      <c r="O944" s="9">
        <f t="shared" si="175"/>
        <v>75.12</v>
      </c>
    </row>
    <row r="945" spans="1:15" x14ac:dyDescent="0.2">
      <c r="A945" s="1" t="s">
        <v>1894</v>
      </c>
      <c r="B945" s="2">
        <v>44.65</v>
      </c>
      <c r="C945" s="2">
        <v>73.47</v>
      </c>
      <c r="D945" s="2" t="s">
        <v>1895</v>
      </c>
      <c r="H945" s="2" t="s">
        <v>3497</v>
      </c>
      <c r="J945" s="7" t="str">
        <f t="shared" si="170"/>
        <v>Plattsburgh</v>
      </c>
      <c r="K945" s="7" t="str">
        <f t="shared" si="171"/>
        <v xml:space="preserve">NY  </v>
      </c>
      <c r="L945" s="7" t="str">
        <f t="shared" si="172"/>
        <v xml:space="preserve">NY </v>
      </c>
      <c r="M945" s="7" t="str">
        <f t="shared" si="173"/>
        <v xml:space="preserve">NY </v>
      </c>
      <c r="N945" s="9">
        <f t="shared" si="174"/>
        <v>44.65</v>
      </c>
      <c r="O945" s="9">
        <f t="shared" si="175"/>
        <v>73.47</v>
      </c>
    </row>
    <row r="946" spans="1:15" x14ac:dyDescent="0.2">
      <c r="A946" s="1" t="s">
        <v>1896</v>
      </c>
      <c r="B946" s="2">
        <v>41.63</v>
      </c>
      <c r="C946" s="2">
        <v>73.88</v>
      </c>
      <c r="D946" s="2" t="s">
        <v>1897</v>
      </c>
      <c r="H946" s="2" t="s">
        <v>3498</v>
      </c>
      <c r="J946" s="7" t="str">
        <f t="shared" si="170"/>
        <v>Poughkeepsie</v>
      </c>
      <c r="K946" s="7" t="str">
        <f t="shared" si="171"/>
        <v xml:space="preserve">NY  </v>
      </c>
      <c r="L946" s="7" t="str">
        <f t="shared" si="172"/>
        <v xml:space="preserve">NY </v>
      </c>
      <c r="M946" s="7" t="str">
        <f t="shared" si="173"/>
        <v xml:space="preserve">NY </v>
      </c>
      <c r="N946" s="9">
        <f t="shared" si="174"/>
        <v>41.63</v>
      </c>
      <c r="O946" s="9">
        <f t="shared" si="175"/>
        <v>73.88</v>
      </c>
    </row>
    <row r="947" spans="1:15" x14ac:dyDescent="0.2">
      <c r="A947" s="1" t="s">
        <v>1898</v>
      </c>
      <c r="B947" s="2">
        <v>43.12</v>
      </c>
      <c r="C947" s="2">
        <v>77.67</v>
      </c>
      <c r="D947" s="2" t="s">
        <v>1899</v>
      </c>
      <c r="H947" s="2" t="s">
        <v>3499</v>
      </c>
      <c r="J947" s="7" t="str">
        <f t="shared" si="170"/>
        <v>Rochester</v>
      </c>
      <c r="K947" s="7" t="str">
        <f t="shared" si="171"/>
        <v xml:space="preserve">NY  </v>
      </c>
      <c r="L947" s="7" t="str">
        <f t="shared" si="172"/>
        <v xml:space="preserve">NY </v>
      </c>
      <c r="M947" s="7" t="str">
        <f t="shared" si="173"/>
        <v xml:space="preserve">NY </v>
      </c>
      <c r="N947" s="9">
        <f t="shared" si="174"/>
        <v>43.12</v>
      </c>
      <c r="O947" s="9">
        <f t="shared" si="175"/>
        <v>77.67</v>
      </c>
    </row>
    <row r="948" spans="1:15" x14ac:dyDescent="0.2">
      <c r="A948" s="1" t="s">
        <v>1898</v>
      </c>
      <c r="B948" s="2">
        <v>43.12</v>
      </c>
      <c r="C948" s="2">
        <v>77.67</v>
      </c>
      <c r="D948" s="2" t="s">
        <v>1899</v>
      </c>
      <c r="H948" s="2" t="s">
        <v>3499</v>
      </c>
      <c r="J948" s="7" t="str">
        <f t="shared" si="170"/>
        <v>Rochester</v>
      </c>
      <c r="K948" s="7" t="str">
        <f t="shared" si="171"/>
        <v xml:space="preserve">NY  </v>
      </c>
      <c r="L948" s="7" t="str">
        <f t="shared" si="172"/>
        <v xml:space="preserve">NY </v>
      </c>
      <c r="M948" s="7" t="str">
        <f t="shared" si="173"/>
        <v xml:space="preserve">NY </v>
      </c>
      <c r="N948" s="9">
        <f t="shared" si="174"/>
        <v>43.12</v>
      </c>
      <c r="O948" s="9">
        <f t="shared" si="175"/>
        <v>77.67</v>
      </c>
    </row>
    <row r="949" spans="1:15" x14ac:dyDescent="0.2">
      <c r="A949" s="1" t="s">
        <v>1900</v>
      </c>
      <c r="B949" s="2">
        <v>44.38</v>
      </c>
      <c r="C949" s="2">
        <v>74.2</v>
      </c>
      <c r="D949" s="2" t="s">
        <v>1901</v>
      </c>
      <c r="E949" s="2" t="s">
        <v>1902</v>
      </c>
      <c r="H949" s="2" t="s">
        <v>3500</v>
      </c>
      <c r="J949" s="7" t="str">
        <f t="shared" si="170"/>
        <v>Saranac L</v>
      </c>
      <c r="K949" s="7" t="str">
        <f t="shared" si="171"/>
        <v xml:space="preserve">,NY </v>
      </c>
      <c r="L949" s="7" t="str">
        <f t="shared" si="172"/>
        <v>,NY</v>
      </c>
      <c r="M949" s="7" t="str">
        <f t="shared" si="173"/>
        <v>NY</v>
      </c>
      <c r="N949" s="9">
        <f t="shared" si="174"/>
        <v>44.38</v>
      </c>
      <c r="O949" s="9">
        <f t="shared" si="175"/>
        <v>74.2</v>
      </c>
    </row>
    <row r="950" spans="1:15" x14ac:dyDescent="0.2">
      <c r="A950" s="1" t="s">
        <v>1903</v>
      </c>
      <c r="B950" s="2">
        <v>42.85</v>
      </c>
      <c r="C950" s="2">
        <v>73.930000000000007</v>
      </c>
      <c r="D950" s="2" t="s">
        <v>1904</v>
      </c>
      <c r="H950" s="2" t="s">
        <v>3501</v>
      </c>
      <c r="J950" s="7" t="str">
        <f t="shared" si="170"/>
        <v>Schenectady</v>
      </c>
      <c r="K950" s="7" t="str">
        <f t="shared" si="171"/>
        <v xml:space="preserve">NY  </v>
      </c>
      <c r="L950" s="7" t="str">
        <f t="shared" si="172"/>
        <v xml:space="preserve">NY </v>
      </c>
      <c r="M950" s="7" t="str">
        <f t="shared" si="173"/>
        <v xml:space="preserve">NY </v>
      </c>
      <c r="N950" s="9">
        <f t="shared" si="174"/>
        <v>42.85</v>
      </c>
      <c r="O950" s="9">
        <f t="shared" si="175"/>
        <v>73.930000000000007</v>
      </c>
    </row>
    <row r="951" spans="1:15" x14ac:dyDescent="0.2">
      <c r="A951" s="1" t="s">
        <v>1905</v>
      </c>
      <c r="B951" s="2">
        <v>43.12</v>
      </c>
      <c r="C951" s="2">
        <v>76.12</v>
      </c>
      <c r="D951" s="2" t="s">
        <v>1906</v>
      </c>
      <c r="H951" s="2" t="s">
        <v>3502</v>
      </c>
      <c r="J951" s="7" t="str">
        <f t="shared" si="170"/>
        <v>Syracuse</v>
      </c>
      <c r="K951" s="7" t="str">
        <f t="shared" si="171"/>
        <v xml:space="preserve">NY  </v>
      </c>
      <c r="L951" s="7" t="str">
        <f t="shared" si="172"/>
        <v xml:space="preserve">NY </v>
      </c>
      <c r="M951" s="7" t="str">
        <f t="shared" si="173"/>
        <v xml:space="preserve">NY </v>
      </c>
      <c r="N951" s="9">
        <f t="shared" si="174"/>
        <v>43.12</v>
      </c>
      <c r="O951" s="9">
        <f t="shared" si="175"/>
        <v>76.12</v>
      </c>
    </row>
    <row r="952" spans="1:15" x14ac:dyDescent="0.2">
      <c r="A952" s="1" t="s">
        <v>1907</v>
      </c>
      <c r="B952" s="2">
        <v>43.15</v>
      </c>
      <c r="C952" s="2">
        <v>75.38</v>
      </c>
      <c r="D952" s="2" t="s">
        <v>1908</v>
      </c>
      <c r="H952" s="2" t="s">
        <v>3503</v>
      </c>
      <c r="J952" s="7" t="str">
        <f t="shared" si="170"/>
        <v>Utica</v>
      </c>
      <c r="K952" s="7" t="str">
        <f t="shared" si="171"/>
        <v xml:space="preserve">NY  </v>
      </c>
      <c r="L952" s="7" t="str">
        <f t="shared" si="172"/>
        <v xml:space="preserve">NY </v>
      </c>
      <c r="M952" s="7" t="str">
        <f t="shared" si="173"/>
        <v xml:space="preserve">NY </v>
      </c>
      <c r="N952" s="9">
        <f t="shared" si="174"/>
        <v>43.15</v>
      </c>
      <c r="O952" s="9">
        <f t="shared" si="175"/>
        <v>75.38</v>
      </c>
    </row>
    <row r="953" spans="1:15" x14ac:dyDescent="0.2">
      <c r="A953" s="1" t="s">
        <v>1909</v>
      </c>
      <c r="B953" s="2">
        <v>44</v>
      </c>
      <c r="C953" s="2">
        <v>76.02</v>
      </c>
      <c r="D953" s="2" t="s">
        <v>1910</v>
      </c>
      <c r="H953" s="2" t="s">
        <v>3504</v>
      </c>
      <c r="J953" s="7" t="str">
        <f t="shared" si="170"/>
        <v>Watertown</v>
      </c>
      <c r="K953" s="7" t="str">
        <f t="shared" si="171"/>
        <v xml:space="preserve">NY  </v>
      </c>
      <c r="L953" s="7" t="str">
        <f t="shared" si="172"/>
        <v xml:space="preserve">NY </v>
      </c>
      <c r="M953" s="7" t="str">
        <f t="shared" si="173"/>
        <v xml:space="preserve">NY </v>
      </c>
      <c r="N953" s="9">
        <f t="shared" si="174"/>
        <v>44</v>
      </c>
      <c r="O953" s="9">
        <f t="shared" si="175"/>
        <v>76.02</v>
      </c>
    </row>
    <row r="954" spans="1:15" x14ac:dyDescent="0.2">
      <c r="A954" s="1" t="s">
        <v>1911</v>
      </c>
      <c r="B954" s="2">
        <v>40.85</v>
      </c>
      <c r="C954" s="2">
        <v>72.63</v>
      </c>
      <c r="D954" s="2" t="s">
        <v>1912</v>
      </c>
      <c r="H954" s="2" t="s">
        <v>3505</v>
      </c>
      <c r="J954" s="7" t="str">
        <f t="shared" si="170"/>
        <v>Westhampton</v>
      </c>
      <c r="K954" s="7" t="str">
        <f t="shared" si="171"/>
        <v xml:space="preserve">NY  </v>
      </c>
      <c r="L954" s="7" t="str">
        <f t="shared" si="172"/>
        <v xml:space="preserve">NY </v>
      </c>
      <c r="M954" s="7" t="str">
        <f t="shared" si="173"/>
        <v xml:space="preserve">NY </v>
      </c>
      <c r="N954" s="9">
        <f t="shared" si="174"/>
        <v>40.85</v>
      </c>
      <c r="O954" s="9">
        <f t="shared" si="175"/>
        <v>72.63</v>
      </c>
    </row>
    <row r="955" spans="1:15" x14ac:dyDescent="0.2">
      <c r="A955" s="1" t="s">
        <v>1913</v>
      </c>
      <c r="B955" s="2">
        <v>41.07</v>
      </c>
      <c r="C955" s="2">
        <v>73.72</v>
      </c>
      <c r="D955" s="2" t="s">
        <v>1845</v>
      </c>
      <c r="E955" s="2" t="s">
        <v>1914</v>
      </c>
      <c r="H955" s="2" t="s">
        <v>3506</v>
      </c>
      <c r="J955" s="7" t="str">
        <f t="shared" si="170"/>
        <v>White Plain</v>
      </c>
      <c r="K955" s="7" t="str">
        <f t="shared" si="171"/>
        <v xml:space="preserve">,NY </v>
      </c>
      <c r="L955" s="7" t="str">
        <f t="shared" si="172"/>
        <v>,NY</v>
      </c>
      <c r="M955" s="7" t="str">
        <f t="shared" si="173"/>
        <v>NY</v>
      </c>
      <c r="N955" s="9">
        <f t="shared" si="174"/>
        <v>41.07</v>
      </c>
      <c r="O955" s="9">
        <f t="shared" si="175"/>
        <v>73.72</v>
      </c>
    </row>
    <row r="956" spans="1:15" x14ac:dyDescent="0.2">
      <c r="A956" s="4"/>
      <c r="H956" s="2" t="s">
        <v>2726</v>
      </c>
      <c r="J956" s="7"/>
      <c r="K956" s="7"/>
      <c r="L956" s="7"/>
      <c r="M956" s="7"/>
      <c r="N956" s="9"/>
      <c r="O956" s="9"/>
    </row>
    <row r="957" spans="1:15" x14ac:dyDescent="0.2">
      <c r="A957" s="1" t="s">
        <v>49</v>
      </c>
      <c r="B957" s="2" t="s">
        <v>50</v>
      </c>
      <c r="H957" s="2" t="s">
        <v>2726</v>
      </c>
      <c r="J957" s="7"/>
      <c r="K957" s="7"/>
      <c r="L957" s="7"/>
      <c r="M957" s="7"/>
      <c r="N957" s="9"/>
      <c r="O957" s="9"/>
    </row>
    <row r="958" spans="1:15" x14ac:dyDescent="0.2">
      <c r="A958" s="4"/>
      <c r="H958" s="2" t="s">
        <v>2726</v>
      </c>
      <c r="J958" s="7"/>
      <c r="K958" s="7"/>
      <c r="L958" s="7"/>
      <c r="M958" s="7"/>
      <c r="N958" s="9"/>
      <c r="O958" s="9"/>
    </row>
    <row r="959" spans="1:15" x14ac:dyDescent="0.2">
      <c r="A959" s="1" t="s">
        <v>1915</v>
      </c>
      <c r="B959" s="2">
        <v>35.43</v>
      </c>
      <c r="C959" s="2">
        <v>82.55</v>
      </c>
      <c r="D959" s="2" t="s">
        <v>1916</v>
      </c>
      <c r="H959" s="2" t="s">
        <v>3507</v>
      </c>
      <c r="J959" s="7" t="str">
        <f t="shared" si="170"/>
        <v>Asheville</v>
      </c>
      <c r="K959" s="7" t="str">
        <f t="shared" si="171"/>
        <v xml:space="preserve">NC  </v>
      </c>
      <c r="L959" s="7" t="str">
        <f t="shared" ref="L959:L983" si="176">LEFT(K959,LEN(K959)-1)</f>
        <v xml:space="preserve">NC </v>
      </c>
      <c r="M959" s="7" t="str">
        <f t="shared" ref="M959:M983" si="177">SUBSTITUTE(L959,",","")</f>
        <v xml:space="preserve">NC </v>
      </c>
      <c r="N959" s="9">
        <f t="shared" ref="N959:N983" si="178">B959</f>
        <v>35.43</v>
      </c>
      <c r="O959" s="9">
        <f t="shared" ref="O959:O983" si="179">C959</f>
        <v>82.55</v>
      </c>
    </row>
    <row r="960" spans="1:15" x14ac:dyDescent="0.2">
      <c r="A960" s="1" t="s">
        <v>1917</v>
      </c>
      <c r="B960" s="2">
        <v>35.270000000000003</v>
      </c>
      <c r="C960" s="2">
        <v>75.55</v>
      </c>
      <c r="D960" s="2" t="s">
        <v>131</v>
      </c>
      <c r="E960" s="2" t="s">
        <v>1918</v>
      </c>
      <c r="H960" s="2" t="s">
        <v>3508</v>
      </c>
      <c r="J960" s="7" t="str">
        <f t="shared" si="170"/>
        <v>Cape Hatter</v>
      </c>
      <c r="K960" s="7" t="str">
        <f t="shared" si="171"/>
        <v xml:space="preserve">,NC </v>
      </c>
      <c r="L960" s="7" t="str">
        <f t="shared" si="176"/>
        <v>,NC</v>
      </c>
      <c r="M960" s="7" t="str">
        <f t="shared" si="177"/>
        <v>NC</v>
      </c>
      <c r="N960" s="9">
        <f t="shared" si="178"/>
        <v>35.270000000000003</v>
      </c>
      <c r="O960" s="9">
        <f t="shared" si="179"/>
        <v>75.55</v>
      </c>
    </row>
    <row r="961" spans="1:15" x14ac:dyDescent="0.2">
      <c r="A961" s="1" t="s">
        <v>1919</v>
      </c>
      <c r="B961" s="2">
        <v>35.22</v>
      </c>
      <c r="C961" s="2">
        <v>80.930000000000007</v>
      </c>
      <c r="D961" s="2" t="s">
        <v>1920</v>
      </c>
      <c r="H961" s="2" t="s">
        <v>3509</v>
      </c>
      <c r="J961" s="7" t="str">
        <f t="shared" si="170"/>
        <v>Charlotte</v>
      </c>
      <c r="K961" s="7" t="str">
        <f t="shared" si="171"/>
        <v xml:space="preserve">NC  </v>
      </c>
      <c r="L961" s="7" t="str">
        <f t="shared" si="176"/>
        <v xml:space="preserve">NC </v>
      </c>
      <c r="M961" s="7" t="str">
        <f t="shared" si="177"/>
        <v xml:space="preserve">NC </v>
      </c>
      <c r="N961" s="9">
        <f t="shared" si="178"/>
        <v>35.22</v>
      </c>
      <c r="O961" s="9">
        <f t="shared" si="179"/>
        <v>80.930000000000007</v>
      </c>
    </row>
    <row r="962" spans="1:15" x14ac:dyDescent="0.2">
      <c r="A962" s="1" t="s">
        <v>1921</v>
      </c>
      <c r="B962" s="2">
        <v>34.9</v>
      </c>
      <c r="C962" s="2">
        <v>76.88</v>
      </c>
      <c r="D962" s="2" t="s">
        <v>1922</v>
      </c>
      <c r="E962" s="2" t="s">
        <v>1923</v>
      </c>
      <c r="H962" s="2" t="s">
        <v>3510</v>
      </c>
      <c r="J962" s="7" t="str">
        <f t="shared" si="170"/>
        <v>Cherry Poin</v>
      </c>
      <c r="K962" s="7" t="str">
        <f t="shared" si="171"/>
        <v xml:space="preserve">,NC </v>
      </c>
      <c r="L962" s="7" t="str">
        <f t="shared" si="176"/>
        <v>,NC</v>
      </c>
      <c r="M962" s="7" t="str">
        <f t="shared" si="177"/>
        <v>NC</v>
      </c>
      <c r="N962" s="9">
        <f t="shared" si="178"/>
        <v>34.9</v>
      </c>
      <c r="O962" s="9">
        <f t="shared" si="179"/>
        <v>76.88</v>
      </c>
    </row>
    <row r="963" spans="1:15" x14ac:dyDescent="0.2">
      <c r="A963" s="1" t="s">
        <v>1924</v>
      </c>
      <c r="B963" s="2">
        <v>36.130000000000003</v>
      </c>
      <c r="C963" s="2">
        <v>76.5</v>
      </c>
      <c r="D963" s="2" t="s">
        <v>1925</v>
      </c>
      <c r="E963" s="2" t="s">
        <v>1926</v>
      </c>
      <c r="F963" s="2" t="s">
        <v>1927</v>
      </c>
      <c r="H963" s="2" t="s">
        <v>3511</v>
      </c>
      <c r="J963" s="7" t="str">
        <f t="shared" si="170"/>
        <v xml:space="preserve">Dare Co </v>
      </c>
      <c r="K963" s="7" t="str">
        <f t="shared" si="171"/>
        <v>r,NC</v>
      </c>
      <c r="L963" s="7" t="str">
        <f t="shared" si="176"/>
        <v>r,N</v>
      </c>
      <c r="M963" s="7" t="str">
        <f t="shared" si="177"/>
        <v>rN</v>
      </c>
      <c r="N963" s="9">
        <f t="shared" si="178"/>
        <v>36.130000000000003</v>
      </c>
      <c r="O963" s="9">
        <f t="shared" si="179"/>
        <v>76.5</v>
      </c>
    </row>
    <row r="964" spans="1:15" x14ac:dyDescent="0.2">
      <c r="A964" s="1" t="s">
        <v>1928</v>
      </c>
      <c r="B964" s="2">
        <v>35.25</v>
      </c>
      <c r="C964" s="2">
        <v>75.5</v>
      </c>
      <c r="D964" s="2" t="s">
        <v>1929</v>
      </c>
      <c r="E964" s="2" t="s">
        <v>1930</v>
      </c>
      <c r="H964" s="2" t="s">
        <v>3512</v>
      </c>
      <c r="J964" s="7" t="str">
        <f t="shared" si="170"/>
        <v>Diamond Sh</v>
      </c>
      <c r="K964" s="7" t="str">
        <f t="shared" si="171"/>
        <v xml:space="preserve">,NC </v>
      </c>
      <c r="L964" s="7" t="str">
        <f t="shared" si="176"/>
        <v>,NC</v>
      </c>
      <c r="M964" s="7" t="str">
        <f t="shared" si="177"/>
        <v>NC</v>
      </c>
      <c r="N964" s="9">
        <f t="shared" si="178"/>
        <v>35.25</v>
      </c>
      <c r="O964" s="9">
        <f t="shared" si="179"/>
        <v>75.5</v>
      </c>
    </row>
    <row r="965" spans="1:15" x14ac:dyDescent="0.2">
      <c r="A965" s="1" t="s">
        <v>1931</v>
      </c>
      <c r="B965" s="2">
        <v>36.270000000000003</v>
      </c>
      <c r="C965" s="2">
        <v>76.180000000000007</v>
      </c>
      <c r="D965" s="2" t="s">
        <v>1932</v>
      </c>
      <c r="H965" s="2" t="s">
        <v>3513</v>
      </c>
      <c r="J965" s="7" t="str">
        <f t="shared" si="170"/>
        <v>Elizabeth</v>
      </c>
      <c r="K965" s="7" t="str">
        <f t="shared" si="171"/>
        <v xml:space="preserve">NC  </v>
      </c>
      <c r="L965" s="7" t="str">
        <f t="shared" si="176"/>
        <v xml:space="preserve">NC </v>
      </c>
      <c r="M965" s="7" t="str">
        <f t="shared" si="177"/>
        <v xml:space="preserve">NC </v>
      </c>
      <c r="N965" s="9">
        <f t="shared" si="178"/>
        <v>36.270000000000003</v>
      </c>
      <c r="O965" s="9">
        <f t="shared" si="179"/>
        <v>76.180000000000007</v>
      </c>
    </row>
    <row r="966" spans="1:15" x14ac:dyDescent="0.2">
      <c r="A966" s="1" t="s">
        <v>1933</v>
      </c>
      <c r="B966" s="2">
        <v>35</v>
      </c>
      <c r="C966" s="2">
        <v>78.88</v>
      </c>
      <c r="D966" s="2" t="s">
        <v>1934</v>
      </c>
      <c r="H966" s="2" t="s">
        <v>3514</v>
      </c>
      <c r="J966" s="7" t="str">
        <f t="shared" si="170"/>
        <v>Fayetteville</v>
      </c>
      <c r="K966" s="7" t="str">
        <f t="shared" si="171"/>
        <v xml:space="preserve">NC  </v>
      </c>
      <c r="L966" s="7" t="str">
        <f t="shared" si="176"/>
        <v xml:space="preserve">NC </v>
      </c>
      <c r="M966" s="7" t="str">
        <f t="shared" si="177"/>
        <v xml:space="preserve">NC </v>
      </c>
      <c r="N966" s="9">
        <f t="shared" si="178"/>
        <v>35</v>
      </c>
      <c r="O966" s="9">
        <f t="shared" si="179"/>
        <v>78.88</v>
      </c>
    </row>
    <row r="967" spans="1:15" x14ac:dyDescent="0.2">
      <c r="A967" s="1" t="s">
        <v>1935</v>
      </c>
      <c r="B967" s="2">
        <v>35.130000000000003</v>
      </c>
      <c r="C967" s="2">
        <v>78.930000000000007</v>
      </c>
      <c r="D967" s="2" t="s">
        <v>71</v>
      </c>
      <c r="E967" s="2" t="s">
        <v>1936</v>
      </c>
      <c r="H967" s="2" t="s">
        <v>3515</v>
      </c>
      <c r="J967" s="7" t="str">
        <f t="shared" si="170"/>
        <v>Fort Brag</v>
      </c>
      <c r="K967" s="7" t="str">
        <f t="shared" si="171"/>
        <v xml:space="preserve">,NC </v>
      </c>
      <c r="L967" s="7" t="str">
        <f t="shared" si="176"/>
        <v>,NC</v>
      </c>
      <c r="M967" s="7" t="str">
        <f t="shared" si="177"/>
        <v>NC</v>
      </c>
      <c r="N967" s="9">
        <f t="shared" si="178"/>
        <v>35.130000000000003</v>
      </c>
      <c r="O967" s="9">
        <f t="shared" si="179"/>
        <v>78.930000000000007</v>
      </c>
    </row>
    <row r="968" spans="1:15" x14ac:dyDescent="0.2">
      <c r="A968" s="1" t="s">
        <v>1937</v>
      </c>
      <c r="B968" s="2">
        <v>36.08</v>
      </c>
      <c r="C968" s="2">
        <v>79.95</v>
      </c>
      <c r="D968" s="2" t="s">
        <v>1938</v>
      </c>
      <c r="H968" s="2" t="s">
        <v>3516</v>
      </c>
      <c r="J968" s="7" t="str">
        <f t="shared" si="170"/>
        <v>Greensboro</v>
      </c>
      <c r="K968" s="7" t="str">
        <f t="shared" si="171"/>
        <v xml:space="preserve">NC  </v>
      </c>
      <c r="L968" s="7" t="str">
        <f t="shared" si="176"/>
        <v xml:space="preserve">NC </v>
      </c>
      <c r="M968" s="7" t="str">
        <f t="shared" si="177"/>
        <v xml:space="preserve">NC </v>
      </c>
      <c r="N968" s="9">
        <f t="shared" si="178"/>
        <v>36.08</v>
      </c>
      <c r="O968" s="9">
        <f t="shared" si="179"/>
        <v>79.95</v>
      </c>
    </row>
    <row r="969" spans="1:15" x14ac:dyDescent="0.2">
      <c r="A969" s="1" t="s">
        <v>1939</v>
      </c>
      <c r="B969" s="2">
        <v>35.75</v>
      </c>
      <c r="C969" s="2">
        <v>81.38</v>
      </c>
      <c r="D969" s="2" t="s">
        <v>1940</v>
      </c>
      <c r="H969" s="2" t="s">
        <v>3517</v>
      </c>
      <c r="J969" s="7" t="str">
        <f t="shared" si="170"/>
        <v>Hickory</v>
      </c>
      <c r="K969" s="7" t="str">
        <f t="shared" si="171"/>
        <v xml:space="preserve">NC  </v>
      </c>
      <c r="L969" s="7" t="str">
        <f t="shared" si="176"/>
        <v xml:space="preserve">NC </v>
      </c>
      <c r="M969" s="7" t="str">
        <f t="shared" si="177"/>
        <v xml:space="preserve">NC </v>
      </c>
      <c r="N969" s="9">
        <f t="shared" si="178"/>
        <v>35.75</v>
      </c>
      <c r="O969" s="9">
        <f t="shared" si="179"/>
        <v>81.38</v>
      </c>
    </row>
    <row r="970" spans="1:15" x14ac:dyDescent="0.2">
      <c r="A970" s="1" t="s">
        <v>1941</v>
      </c>
      <c r="B970" s="2">
        <v>35.9</v>
      </c>
      <c r="C970" s="2">
        <v>82.82</v>
      </c>
      <c r="D970" s="2" t="s">
        <v>406</v>
      </c>
      <c r="E970" s="2" t="s">
        <v>1942</v>
      </c>
      <c r="H970" s="2" t="s">
        <v>3518</v>
      </c>
      <c r="J970" s="7" t="str">
        <f t="shared" si="170"/>
        <v>Hot Spring</v>
      </c>
      <c r="K970" s="7" t="str">
        <f t="shared" si="171"/>
        <v xml:space="preserve">,NC </v>
      </c>
      <c r="L970" s="7" t="str">
        <f t="shared" si="176"/>
        <v>,NC</v>
      </c>
      <c r="M970" s="7" t="str">
        <f t="shared" si="177"/>
        <v>NC</v>
      </c>
      <c r="N970" s="9">
        <f t="shared" si="178"/>
        <v>35.9</v>
      </c>
      <c r="O970" s="9">
        <f t="shared" si="179"/>
        <v>82.82</v>
      </c>
    </row>
    <row r="971" spans="1:15" x14ac:dyDescent="0.2">
      <c r="A971" s="1" t="s">
        <v>1943</v>
      </c>
      <c r="B971" s="2">
        <v>34.82</v>
      </c>
      <c r="C971" s="2">
        <v>77.62</v>
      </c>
      <c r="D971" s="2" t="s">
        <v>1944</v>
      </c>
      <c r="H971" s="2" t="s">
        <v>3519</v>
      </c>
      <c r="J971" s="7" t="str">
        <f t="shared" si="170"/>
        <v>Jacksonville</v>
      </c>
      <c r="K971" s="7" t="str">
        <f t="shared" si="171"/>
        <v xml:space="preserve">NC  </v>
      </c>
      <c r="L971" s="7" t="str">
        <f t="shared" si="176"/>
        <v xml:space="preserve">NC </v>
      </c>
      <c r="M971" s="7" t="str">
        <f t="shared" si="177"/>
        <v xml:space="preserve">NC </v>
      </c>
      <c r="N971" s="9">
        <f t="shared" si="178"/>
        <v>34.82</v>
      </c>
      <c r="O971" s="9">
        <f t="shared" si="179"/>
        <v>77.62</v>
      </c>
    </row>
    <row r="972" spans="1:15" x14ac:dyDescent="0.2">
      <c r="A972" s="1" t="s">
        <v>1945</v>
      </c>
      <c r="B972" s="2">
        <v>35.32</v>
      </c>
      <c r="C972" s="2">
        <v>77.63</v>
      </c>
      <c r="D972" s="2" t="s">
        <v>1946</v>
      </c>
      <c r="H972" s="2" t="s">
        <v>3520</v>
      </c>
      <c r="J972" s="7" t="str">
        <f t="shared" si="170"/>
        <v>Kinston</v>
      </c>
      <c r="K972" s="7" t="str">
        <f t="shared" si="171"/>
        <v xml:space="preserve">NC  </v>
      </c>
      <c r="L972" s="7" t="str">
        <f t="shared" si="176"/>
        <v xml:space="preserve">NC </v>
      </c>
      <c r="M972" s="7" t="str">
        <f t="shared" si="177"/>
        <v xml:space="preserve">NC </v>
      </c>
      <c r="N972" s="9">
        <f t="shared" si="178"/>
        <v>35.32</v>
      </c>
      <c r="O972" s="9">
        <f t="shared" si="179"/>
        <v>77.63</v>
      </c>
    </row>
    <row r="973" spans="1:15" x14ac:dyDescent="0.2">
      <c r="A973" s="1" t="s">
        <v>1947</v>
      </c>
      <c r="B973" s="2">
        <v>35.03</v>
      </c>
      <c r="C973" s="2">
        <v>79.5</v>
      </c>
      <c r="D973" s="2" t="s">
        <v>1948</v>
      </c>
      <c r="E973" s="2" t="s">
        <v>1949</v>
      </c>
      <c r="H973" s="2" t="s">
        <v>3521</v>
      </c>
      <c r="J973" s="7" t="str">
        <f t="shared" si="170"/>
        <v>Mackall Aa</v>
      </c>
      <c r="K973" s="7" t="str">
        <f t="shared" si="171"/>
        <v xml:space="preserve">,NC </v>
      </c>
      <c r="L973" s="7" t="str">
        <f t="shared" si="176"/>
        <v>,NC</v>
      </c>
      <c r="M973" s="7" t="str">
        <f t="shared" si="177"/>
        <v>NC</v>
      </c>
      <c r="N973" s="9">
        <f t="shared" si="178"/>
        <v>35.03</v>
      </c>
      <c r="O973" s="9">
        <f t="shared" si="179"/>
        <v>79.5</v>
      </c>
    </row>
    <row r="974" spans="1:15" x14ac:dyDescent="0.2">
      <c r="A974" s="1" t="s">
        <v>1950</v>
      </c>
      <c r="B974" s="2">
        <v>35.92</v>
      </c>
      <c r="C974" s="2">
        <v>75.680000000000007</v>
      </c>
      <c r="D974" s="2" t="s">
        <v>1951</v>
      </c>
      <c r="E974" s="2" t="s">
        <v>1952</v>
      </c>
      <c r="H974" s="2" t="s">
        <v>3522</v>
      </c>
      <c r="J974" s="7" t="str">
        <f t="shared" si="170"/>
        <v>Manteo Arp</v>
      </c>
      <c r="K974" s="7" t="str">
        <f t="shared" si="171"/>
        <v xml:space="preserve">,NC </v>
      </c>
      <c r="L974" s="7" t="str">
        <f t="shared" si="176"/>
        <v>,NC</v>
      </c>
      <c r="M974" s="7" t="str">
        <f t="shared" si="177"/>
        <v>NC</v>
      </c>
      <c r="N974" s="9">
        <f t="shared" si="178"/>
        <v>35.92</v>
      </c>
      <c r="O974" s="9">
        <f t="shared" si="179"/>
        <v>75.680000000000007</v>
      </c>
    </row>
    <row r="975" spans="1:15" x14ac:dyDescent="0.2">
      <c r="A975" s="1" t="s">
        <v>1953</v>
      </c>
      <c r="B975" s="2">
        <v>35.08</v>
      </c>
      <c r="C975" s="2">
        <v>77.05</v>
      </c>
      <c r="D975" s="2" t="s">
        <v>44</v>
      </c>
      <c r="E975" s="2" t="s">
        <v>1954</v>
      </c>
      <c r="H975" s="2" t="s">
        <v>3523</v>
      </c>
      <c r="J975" s="7" t="str">
        <f t="shared" si="170"/>
        <v>New Ber</v>
      </c>
      <c r="K975" s="7" t="str">
        <f t="shared" si="171"/>
        <v xml:space="preserve">,NC </v>
      </c>
      <c r="L975" s="7" t="str">
        <f t="shared" si="176"/>
        <v>,NC</v>
      </c>
      <c r="M975" s="7" t="str">
        <f t="shared" si="177"/>
        <v>NC</v>
      </c>
      <c r="N975" s="9">
        <f t="shared" si="178"/>
        <v>35.08</v>
      </c>
      <c r="O975" s="9">
        <f t="shared" si="179"/>
        <v>77.05</v>
      </c>
    </row>
    <row r="976" spans="1:15" x14ac:dyDescent="0.2">
      <c r="A976" s="1" t="s">
        <v>1955</v>
      </c>
      <c r="B976" s="2">
        <v>34.700000000000003</v>
      </c>
      <c r="C976" s="2">
        <v>77.430000000000007</v>
      </c>
      <c r="D976" s="2" t="s">
        <v>44</v>
      </c>
      <c r="E976" s="2" t="s">
        <v>1956</v>
      </c>
      <c r="H976" s="2" t="s">
        <v>3524</v>
      </c>
      <c r="J976" s="7" t="str">
        <f t="shared" si="170"/>
        <v>New Rive</v>
      </c>
      <c r="K976" s="7" t="str">
        <f t="shared" si="171"/>
        <v xml:space="preserve">,NC </v>
      </c>
      <c r="L976" s="7" t="str">
        <f t="shared" si="176"/>
        <v>,NC</v>
      </c>
      <c r="M976" s="7" t="str">
        <f t="shared" si="177"/>
        <v>NC</v>
      </c>
      <c r="N976" s="9">
        <f t="shared" si="178"/>
        <v>34.700000000000003</v>
      </c>
      <c r="O976" s="9">
        <f t="shared" si="179"/>
        <v>77.430000000000007</v>
      </c>
    </row>
    <row r="977" spans="1:15" x14ac:dyDescent="0.2">
      <c r="A977" s="1" t="s">
        <v>1957</v>
      </c>
      <c r="B977" s="2">
        <v>35.17</v>
      </c>
      <c r="C977" s="2">
        <v>79.02</v>
      </c>
      <c r="D977" s="2" t="s">
        <v>1958</v>
      </c>
      <c r="E977" s="2" t="s">
        <v>1959</v>
      </c>
      <c r="H977" s="2" t="s">
        <v>3525</v>
      </c>
      <c r="J977" s="7" t="str">
        <f t="shared" si="170"/>
        <v>Pope AF</v>
      </c>
      <c r="K977" s="7" t="str">
        <f t="shared" si="171"/>
        <v xml:space="preserve">,NC </v>
      </c>
      <c r="L977" s="7" t="str">
        <f t="shared" si="176"/>
        <v>,NC</v>
      </c>
      <c r="M977" s="7" t="str">
        <f t="shared" si="177"/>
        <v>NC</v>
      </c>
      <c r="N977" s="9">
        <f t="shared" si="178"/>
        <v>35.17</v>
      </c>
      <c r="O977" s="9">
        <f t="shared" si="179"/>
        <v>79.02</v>
      </c>
    </row>
    <row r="978" spans="1:15" x14ac:dyDescent="0.2">
      <c r="A978" s="1" t="s">
        <v>1960</v>
      </c>
      <c r="B978" s="2">
        <v>35.869999999999997</v>
      </c>
      <c r="C978" s="2">
        <v>78.78</v>
      </c>
      <c r="D978" s="2" t="s">
        <v>1961</v>
      </c>
      <c r="H978" s="2" t="s">
        <v>3873</v>
      </c>
      <c r="J978" s="7" t="str">
        <f t="shared" si="170"/>
        <v>Raleigh-Durham</v>
      </c>
      <c r="K978" s="7" t="str">
        <f t="shared" si="171"/>
        <v xml:space="preserve">NC  </v>
      </c>
      <c r="L978" s="7" t="str">
        <f t="shared" si="176"/>
        <v xml:space="preserve">NC </v>
      </c>
      <c r="M978" s="7" t="str">
        <f t="shared" si="177"/>
        <v xml:space="preserve">NC </v>
      </c>
      <c r="N978" s="9">
        <f t="shared" si="178"/>
        <v>35.869999999999997</v>
      </c>
      <c r="O978" s="9">
        <f t="shared" si="179"/>
        <v>78.78</v>
      </c>
    </row>
    <row r="979" spans="1:15" x14ac:dyDescent="0.2">
      <c r="A979" s="1" t="s">
        <v>1962</v>
      </c>
      <c r="B979" s="2">
        <v>35.85</v>
      </c>
      <c r="C979" s="2">
        <v>77.88</v>
      </c>
      <c r="D979" s="2" t="s">
        <v>1963</v>
      </c>
      <c r="E979" s="2" t="s">
        <v>1964</v>
      </c>
      <c r="H979" s="2" t="s">
        <v>3526</v>
      </c>
      <c r="J979" s="7" t="str">
        <f t="shared" si="170"/>
        <v>Rocky M</v>
      </c>
      <c r="K979" s="7" t="str">
        <f t="shared" si="171"/>
        <v xml:space="preserve">,NC </v>
      </c>
      <c r="L979" s="7" t="str">
        <f t="shared" si="176"/>
        <v>,NC</v>
      </c>
      <c r="M979" s="7" t="str">
        <f t="shared" si="177"/>
        <v>NC</v>
      </c>
      <c r="N979" s="9">
        <f t="shared" si="178"/>
        <v>35.85</v>
      </c>
      <c r="O979" s="9">
        <f t="shared" si="179"/>
        <v>77.88</v>
      </c>
    </row>
    <row r="980" spans="1:15" x14ac:dyDescent="0.2">
      <c r="A980" s="1" t="s">
        <v>1965</v>
      </c>
      <c r="B980" s="2">
        <v>35.33</v>
      </c>
      <c r="C980" s="2">
        <v>77.97</v>
      </c>
      <c r="D980" s="2" t="s">
        <v>1966</v>
      </c>
      <c r="H980" s="2" t="s">
        <v>3527</v>
      </c>
      <c r="J980" s="7" t="str">
        <f t="shared" si="170"/>
        <v>Seymour-John</v>
      </c>
      <c r="K980" s="7" t="str">
        <f t="shared" si="171"/>
        <v xml:space="preserve">NC  </v>
      </c>
      <c r="L980" s="7" t="str">
        <f t="shared" si="176"/>
        <v xml:space="preserve">NC </v>
      </c>
      <c r="M980" s="7" t="str">
        <f t="shared" si="177"/>
        <v xml:space="preserve">NC </v>
      </c>
      <c r="N980" s="9">
        <f t="shared" si="178"/>
        <v>35.33</v>
      </c>
      <c r="O980" s="9">
        <f t="shared" si="179"/>
        <v>77.97</v>
      </c>
    </row>
    <row r="981" spans="1:15" x14ac:dyDescent="0.2">
      <c r="A981" s="1" t="s">
        <v>1967</v>
      </c>
      <c r="B981" s="2">
        <v>35.24</v>
      </c>
      <c r="C981" s="2">
        <v>79.39</v>
      </c>
      <c r="D981" s="2" t="s">
        <v>1968</v>
      </c>
      <c r="E981" s="2" t="s">
        <v>1969</v>
      </c>
      <c r="H981" s="2" t="s">
        <v>3528</v>
      </c>
      <c r="J981" s="7" t="str">
        <f t="shared" si="170"/>
        <v>Southern Pi</v>
      </c>
      <c r="K981" s="7" t="str">
        <f t="shared" si="171"/>
        <v xml:space="preserve">,NC </v>
      </c>
      <c r="L981" s="7" t="str">
        <f t="shared" si="176"/>
        <v>,NC</v>
      </c>
      <c r="M981" s="7" t="str">
        <f t="shared" si="177"/>
        <v>NC</v>
      </c>
      <c r="N981" s="9">
        <f t="shared" si="178"/>
        <v>35.24</v>
      </c>
      <c r="O981" s="9">
        <f t="shared" si="179"/>
        <v>79.39</v>
      </c>
    </row>
    <row r="982" spans="1:15" x14ac:dyDescent="0.2">
      <c r="A982" s="1" t="s">
        <v>1970</v>
      </c>
      <c r="B982" s="2">
        <v>34.270000000000003</v>
      </c>
      <c r="C982" s="2">
        <v>77.92</v>
      </c>
      <c r="D982" s="2" t="s">
        <v>1971</v>
      </c>
      <c r="H982" s="2" t="s">
        <v>3529</v>
      </c>
      <c r="J982" s="7" t="str">
        <f t="shared" ref="J982:J1042" si="180">LEFT(H982,LEN(H982)-5)</f>
        <v>Wilmington</v>
      </c>
      <c r="K982" s="7" t="str">
        <f t="shared" ref="K982:K1042" si="181">RIGHT(H982,4)</f>
        <v xml:space="preserve">NC  </v>
      </c>
      <c r="L982" s="7" t="str">
        <f t="shared" si="176"/>
        <v xml:space="preserve">NC </v>
      </c>
      <c r="M982" s="7" t="str">
        <f t="shared" si="177"/>
        <v xml:space="preserve">NC </v>
      </c>
      <c r="N982" s="9">
        <f t="shared" si="178"/>
        <v>34.270000000000003</v>
      </c>
      <c r="O982" s="9">
        <f t="shared" si="179"/>
        <v>77.92</v>
      </c>
    </row>
    <row r="983" spans="1:15" x14ac:dyDescent="0.2">
      <c r="A983" s="1" t="s">
        <v>1972</v>
      </c>
      <c r="B983" s="2">
        <v>36.130000000000003</v>
      </c>
      <c r="C983" s="2">
        <v>80.23</v>
      </c>
      <c r="D983" s="2" t="s">
        <v>1973</v>
      </c>
      <c r="H983" s="2" t="s">
        <v>3530</v>
      </c>
      <c r="J983" s="7" t="str">
        <f t="shared" si="180"/>
        <v>Winston-Salem</v>
      </c>
      <c r="K983" s="7" t="str">
        <f t="shared" si="181"/>
        <v xml:space="preserve">NC  </v>
      </c>
      <c r="L983" s="7" t="str">
        <f t="shared" si="176"/>
        <v xml:space="preserve">NC </v>
      </c>
      <c r="M983" s="7" t="str">
        <f t="shared" si="177"/>
        <v xml:space="preserve">NC </v>
      </c>
      <c r="N983" s="9">
        <f t="shared" si="178"/>
        <v>36.130000000000003</v>
      </c>
      <c r="O983" s="9">
        <f t="shared" si="179"/>
        <v>80.23</v>
      </c>
    </row>
    <row r="984" spans="1:15" x14ac:dyDescent="0.2">
      <c r="A984" s="4"/>
      <c r="H984" s="2" t="s">
        <v>2726</v>
      </c>
      <c r="J984" s="7"/>
      <c r="K984" s="7"/>
      <c r="L984" s="7"/>
      <c r="M984" s="7"/>
      <c r="N984" s="9"/>
      <c r="O984" s="9"/>
    </row>
    <row r="985" spans="1:15" x14ac:dyDescent="0.2">
      <c r="A985" s="1" t="s">
        <v>49</v>
      </c>
      <c r="B985" s="2" t="s">
        <v>51</v>
      </c>
      <c r="H985" s="2" t="s">
        <v>2726</v>
      </c>
      <c r="J985" s="7"/>
      <c r="K985" s="7"/>
      <c r="L985" s="7"/>
      <c r="M985" s="7"/>
      <c r="N985" s="9"/>
      <c r="O985" s="9"/>
    </row>
    <row r="986" spans="1:15" x14ac:dyDescent="0.2">
      <c r="A986" s="4"/>
      <c r="H986" s="2" t="s">
        <v>2726</v>
      </c>
      <c r="J986" s="7"/>
      <c r="K986" s="7"/>
      <c r="L986" s="7"/>
      <c r="M986" s="7"/>
      <c r="N986" s="9"/>
      <c r="O986" s="9"/>
    </row>
    <row r="987" spans="1:15" x14ac:dyDescent="0.2">
      <c r="A987" s="1" t="s">
        <v>1974</v>
      </c>
      <c r="B987" s="2">
        <v>46.77</v>
      </c>
      <c r="C987" s="2">
        <v>100.75</v>
      </c>
      <c r="D987" s="2" t="s">
        <v>1975</v>
      </c>
      <c r="H987" s="2" t="s">
        <v>3531</v>
      </c>
      <c r="J987" s="7" t="str">
        <f t="shared" si="180"/>
        <v>Bismarck</v>
      </c>
      <c r="K987" s="7" t="str">
        <f t="shared" si="181"/>
        <v xml:space="preserve">ND  </v>
      </c>
      <c r="L987" s="7" t="str">
        <f t="shared" ref="L987:L999" si="182">LEFT(K987,LEN(K987)-1)</f>
        <v xml:space="preserve">ND </v>
      </c>
      <c r="M987" s="7" t="str">
        <f t="shared" ref="M987:M999" si="183">SUBSTITUTE(L987,",","")</f>
        <v xml:space="preserve">ND </v>
      </c>
      <c r="N987" s="9">
        <f t="shared" ref="N987:N999" si="184">B987</f>
        <v>46.77</v>
      </c>
      <c r="O987" s="9">
        <f t="shared" ref="O987:O999" si="185">C987</f>
        <v>100.75</v>
      </c>
    </row>
    <row r="988" spans="1:15" x14ac:dyDescent="0.2">
      <c r="A988" s="1" t="s">
        <v>1976</v>
      </c>
      <c r="B988" s="2">
        <v>48.12</v>
      </c>
      <c r="C988" s="2">
        <v>98.9</v>
      </c>
      <c r="D988" s="2" t="s">
        <v>1977</v>
      </c>
      <c r="E988" s="2" t="s">
        <v>1978</v>
      </c>
      <c r="H988" s="2" t="s">
        <v>3532</v>
      </c>
      <c r="J988" s="7" t="str">
        <f t="shared" si="180"/>
        <v>Devil's Lak</v>
      </c>
      <c r="K988" s="7" t="str">
        <f t="shared" si="181"/>
        <v xml:space="preserve">,ND </v>
      </c>
      <c r="L988" s="7" t="str">
        <f t="shared" si="182"/>
        <v>,ND</v>
      </c>
      <c r="M988" s="7" t="str">
        <f t="shared" si="183"/>
        <v>ND</v>
      </c>
      <c r="N988" s="9">
        <f t="shared" si="184"/>
        <v>48.12</v>
      </c>
      <c r="O988" s="9">
        <f t="shared" si="185"/>
        <v>98.9</v>
      </c>
    </row>
    <row r="989" spans="1:15" x14ac:dyDescent="0.2">
      <c r="A989" s="1" t="s">
        <v>1979</v>
      </c>
      <c r="B989" s="2">
        <v>48.1</v>
      </c>
      <c r="C989" s="2">
        <v>98.87</v>
      </c>
      <c r="D989" s="2" t="s">
        <v>1977</v>
      </c>
      <c r="E989" s="2" t="s">
        <v>1978</v>
      </c>
      <c r="H989" s="2" t="s">
        <v>3532</v>
      </c>
      <c r="J989" s="7" t="str">
        <f t="shared" si="180"/>
        <v>Devil's Lak</v>
      </c>
      <c r="K989" s="7" t="str">
        <f t="shared" si="181"/>
        <v xml:space="preserve">,ND </v>
      </c>
      <c r="L989" s="7" t="str">
        <f t="shared" si="182"/>
        <v>,ND</v>
      </c>
      <c r="M989" s="7" t="str">
        <f t="shared" si="183"/>
        <v>ND</v>
      </c>
      <c r="N989" s="9">
        <f t="shared" si="184"/>
        <v>48.1</v>
      </c>
      <c r="O989" s="9">
        <f t="shared" si="185"/>
        <v>98.87</v>
      </c>
    </row>
    <row r="990" spans="1:15" x14ac:dyDescent="0.2">
      <c r="A990" s="1" t="s">
        <v>1980</v>
      </c>
      <c r="B990" s="2">
        <v>46.78</v>
      </c>
      <c r="C990" s="2">
        <v>102.8</v>
      </c>
      <c r="D990" s="2" t="s">
        <v>1981</v>
      </c>
      <c r="H990" s="2" t="s">
        <v>3533</v>
      </c>
      <c r="J990" s="7" t="str">
        <f t="shared" si="180"/>
        <v>Dickenson</v>
      </c>
      <c r="K990" s="7" t="str">
        <f t="shared" si="181"/>
        <v xml:space="preserve">ND  </v>
      </c>
      <c r="L990" s="7" t="str">
        <f t="shared" si="182"/>
        <v xml:space="preserve">ND </v>
      </c>
      <c r="M990" s="7" t="str">
        <f t="shared" si="183"/>
        <v xml:space="preserve">ND </v>
      </c>
      <c r="N990" s="9">
        <f t="shared" si="184"/>
        <v>46.78</v>
      </c>
      <c r="O990" s="9">
        <f t="shared" si="185"/>
        <v>102.8</v>
      </c>
    </row>
    <row r="991" spans="1:15" x14ac:dyDescent="0.2">
      <c r="A991" s="1" t="s">
        <v>1982</v>
      </c>
      <c r="B991" s="2">
        <v>46.9</v>
      </c>
      <c r="C991" s="2">
        <v>96.8</v>
      </c>
      <c r="D991" s="2" t="s">
        <v>1983</v>
      </c>
      <c r="H991" s="2" t="s">
        <v>3534</v>
      </c>
      <c r="J991" s="7" t="str">
        <f t="shared" si="180"/>
        <v>Fargo</v>
      </c>
      <c r="K991" s="7" t="str">
        <f t="shared" si="181"/>
        <v xml:space="preserve">ND  </v>
      </c>
      <c r="L991" s="7" t="str">
        <f t="shared" si="182"/>
        <v xml:space="preserve">ND </v>
      </c>
      <c r="M991" s="7" t="str">
        <f t="shared" si="183"/>
        <v xml:space="preserve">ND </v>
      </c>
      <c r="N991" s="9">
        <f t="shared" si="184"/>
        <v>46.9</v>
      </c>
      <c r="O991" s="9">
        <f t="shared" si="185"/>
        <v>96.8</v>
      </c>
    </row>
    <row r="992" spans="1:15" x14ac:dyDescent="0.2">
      <c r="A992" s="1" t="s">
        <v>1984</v>
      </c>
      <c r="B992" s="2">
        <v>47.95</v>
      </c>
      <c r="C992" s="2">
        <v>97.18</v>
      </c>
      <c r="D992" s="2" t="s">
        <v>354</v>
      </c>
      <c r="E992" s="2" t="s">
        <v>1985</v>
      </c>
      <c r="H992" s="2" t="s">
        <v>3535</v>
      </c>
      <c r="J992" s="7" t="str">
        <f t="shared" si="180"/>
        <v>Grand Fork</v>
      </c>
      <c r="K992" s="7" t="str">
        <f t="shared" si="181"/>
        <v xml:space="preserve">,ND </v>
      </c>
      <c r="L992" s="7" t="str">
        <f t="shared" si="182"/>
        <v>,ND</v>
      </c>
      <c r="M992" s="7" t="str">
        <f t="shared" si="183"/>
        <v>ND</v>
      </c>
      <c r="N992" s="9">
        <f t="shared" si="184"/>
        <v>47.95</v>
      </c>
      <c r="O992" s="9">
        <f t="shared" si="185"/>
        <v>97.18</v>
      </c>
    </row>
    <row r="993" spans="1:15" x14ac:dyDescent="0.2">
      <c r="A993" s="1" t="s">
        <v>1986</v>
      </c>
      <c r="B993" s="2">
        <v>47.97</v>
      </c>
      <c r="C993" s="2">
        <v>97.4</v>
      </c>
      <c r="D993" s="2" t="s">
        <v>354</v>
      </c>
      <c r="E993" s="2" t="s">
        <v>1985</v>
      </c>
      <c r="H993" s="2" t="s">
        <v>3535</v>
      </c>
      <c r="J993" s="7" t="str">
        <f t="shared" si="180"/>
        <v>Grand Fork</v>
      </c>
      <c r="K993" s="7" t="str">
        <f t="shared" si="181"/>
        <v xml:space="preserve">,ND </v>
      </c>
      <c r="L993" s="7" t="str">
        <f t="shared" si="182"/>
        <v>,ND</v>
      </c>
      <c r="M993" s="7" t="str">
        <f t="shared" si="183"/>
        <v>ND</v>
      </c>
      <c r="N993" s="9">
        <f t="shared" si="184"/>
        <v>47.97</v>
      </c>
      <c r="O993" s="9">
        <f t="shared" si="185"/>
        <v>97.4</v>
      </c>
    </row>
    <row r="994" spans="1:15" x14ac:dyDescent="0.2">
      <c r="A994" s="1" t="s">
        <v>1987</v>
      </c>
      <c r="B994" s="2">
        <v>46.92</v>
      </c>
      <c r="C994" s="2">
        <v>98.68</v>
      </c>
      <c r="D994" s="2" t="s">
        <v>1988</v>
      </c>
      <c r="H994" s="2" t="s">
        <v>3536</v>
      </c>
      <c r="J994" s="7" t="str">
        <f t="shared" si="180"/>
        <v>Jamestown</v>
      </c>
      <c r="K994" s="7" t="str">
        <f t="shared" si="181"/>
        <v xml:space="preserve">ND  </v>
      </c>
      <c r="L994" s="7" t="str">
        <f t="shared" si="182"/>
        <v xml:space="preserve">ND </v>
      </c>
      <c r="M994" s="7" t="str">
        <f t="shared" si="183"/>
        <v xml:space="preserve">ND </v>
      </c>
      <c r="N994" s="9">
        <f t="shared" si="184"/>
        <v>46.92</v>
      </c>
      <c r="O994" s="9">
        <f t="shared" si="185"/>
        <v>98.68</v>
      </c>
    </row>
    <row r="995" spans="1:15" x14ac:dyDescent="0.2">
      <c r="A995" s="1" t="s">
        <v>1989</v>
      </c>
      <c r="B995" s="2">
        <v>46.1</v>
      </c>
      <c r="C995" s="2">
        <v>97.15</v>
      </c>
      <c r="D995" s="2" t="s">
        <v>1990</v>
      </c>
      <c r="H995" s="2" t="s">
        <v>3537</v>
      </c>
      <c r="J995" s="7" t="str">
        <f t="shared" si="180"/>
        <v>Lidgerwood</v>
      </c>
      <c r="K995" s="7" t="str">
        <f t="shared" si="181"/>
        <v xml:space="preserve">ND  </v>
      </c>
      <c r="L995" s="7" t="str">
        <f t="shared" si="182"/>
        <v xml:space="preserve">ND </v>
      </c>
      <c r="M995" s="7" t="str">
        <f t="shared" si="183"/>
        <v xml:space="preserve">ND </v>
      </c>
      <c r="N995" s="9">
        <f t="shared" si="184"/>
        <v>46.1</v>
      </c>
      <c r="O995" s="9">
        <f t="shared" si="185"/>
        <v>97.15</v>
      </c>
    </row>
    <row r="996" spans="1:15" x14ac:dyDescent="0.2">
      <c r="A996" s="1" t="s">
        <v>1991</v>
      </c>
      <c r="B996" s="2">
        <v>48.42</v>
      </c>
      <c r="C996" s="2">
        <v>101.35</v>
      </c>
      <c r="D996" s="2" t="s">
        <v>1992</v>
      </c>
      <c r="E996" s="2" t="s">
        <v>1993</v>
      </c>
      <c r="H996" s="2" t="s">
        <v>3538</v>
      </c>
      <c r="J996" s="7" t="str">
        <f t="shared" si="180"/>
        <v>Minot AF</v>
      </c>
      <c r="K996" s="7" t="str">
        <f t="shared" si="181"/>
        <v xml:space="preserve">,ND </v>
      </c>
      <c r="L996" s="7" t="str">
        <f t="shared" si="182"/>
        <v>,ND</v>
      </c>
      <c r="M996" s="7" t="str">
        <f t="shared" si="183"/>
        <v>ND</v>
      </c>
      <c r="N996" s="9">
        <f t="shared" si="184"/>
        <v>48.42</v>
      </c>
      <c r="O996" s="9">
        <f t="shared" si="185"/>
        <v>101.35</v>
      </c>
    </row>
    <row r="997" spans="1:15" x14ac:dyDescent="0.2">
      <c r="A997" s="1" t="s">
        <v>1994</v>
      </c>
      <c r="B997" s="2">
        <v>48.27</v>
      </c>
      <c r="C997" s="2">
        <v>101.28</v>
      </c>
      <c r="D997" s="2" t="s">
        <v>1992</v>
      </c>
      <c r="E997" s="2" t="s">
        <v>1995</v>
      </c>
      <c r="H997" s="2" t="s">
        <v>3539</v>
      </c>
      <c r="J997" s="7" t="str">
        <f t="shared" si="180"/>
        <v>Minot Int</v>
      </c>
      <c r="K997" s="7" t="str">
        <f t="shared" si="181"/>
        <v xml:space="preserve">,ND </v>
      </c>
      <c r="L997" s="7" t="str">
        <f t="shared" si="182"/>
        <v>,ND</v>
      </c>
      <c r="M997" s="7" t="str">
        <f t="shared" si="183"/>
        <v>ND</v>
      </c>
      <c r="N997" s="9">
        <f t="shared" si="184"/>
        <v>48.27</v>
      </c>
      <c r="O997" s="9">
        <f t="shared" si="185"/>
        <v>101.28</v>
      </c>
    </row>
    <row r="998" spans="1:15" x14ac:dyDescent="0.2">
      <c r="A998" s="1" t="s">
        <v>1996</v>
      </c>
      <c r="B998" s="2">
        <v>47.75</v>
      </c>
      <c r="C998" s="2">
        <v>101.83</v>
      </c>
      <c r="D998" s="2" t="s">
        <v>1997</v>
      </c>
      <c r="H998" s="2" t="s">
        <v>3540</v>
      </c>
      <c r="J998" s="7" t="str">
        <f t="shared" si="180"/>
        <v>Roseglen</v>
      </c>
      <c r="K998" s="7" t="str">
        <f t="shared" si="181"/>
        <v xml:space="preserve">ND  </v>
      </c>
      <c r="L998" s="7" t="str">
        <f t="shared" si="182"/>
        <v xml:space="preserve">ND </v>
      </c>
      <c r="M998" s="7" t="str">
        <f t="shared" si="183"/>
        <v xml:space="preserve">ND </v>
      </c>
      <c r="N998" s="9">
        <f t="shared" si="184"/>
        <v>47.75</v>
      </c>
      <c r="O998" s="9">
        <f t="shared" si="185"/>
        <v>101.83</v>
      </c>
    </row>
    <row r="999" spans="1:15" x14ac:dyDescent="0.2">
      <c r="A999" s="1" t="s">
        <v>1998</v>
      </c>
      <c r="B999" s="2">
        <v>48.18</v>
      </c>
      <c r="C999" s="2">
        <v>103.63</v>
      </c>
      <c r="D999" s="2" t="s">
        <v>1999</v>
      </c>
      <c r="H999" s="2" t="s">
        <v>3541</v>
      </c>
      <c r="J999" s="7" t="str">
        <f t="shared" si="180"/>
        <v>Williston</v>
      </c>
      <c r="K999" s="7" t="str">
        <f t="shared" si="181"/>
        <v xml:space="preserve">ND  </v>
      </c>
      <c r="L999" s="7" t="str">
        <f t="shared" si="182"/>
        <v xml:space="preserve">ND </v>
      </c>
      <c r="M999" s="7" t="str">
        <f t="shared" si="183"/>
        <v xml:space="preserve">ND </v>
      </c>
      <c r="N999" s="9">
        <f t="shared" si="184"/>
        <v>48.18</v>
      </c>
      <c r="O999" s="9">
        <f t="shared" si="185"/>
        <v>103.63</v>
      </c>
    </row>
    <row r="1000" spans="1:15" x14ac:dyDescent="0.2">
      <c r="A1000" s="4"/>
      <c r="H1000" s="2" t="s">
        <v>2726</v>
      </c>
      <c r="J1000" s="7"/>
      <c r="K1000" s="7"/>
      <c r="L1000" s="7"/>
      <c r="M1000" s="7"/>
      <c r="N1000" s="9"/>
      <c r="O1000" s="9"/>
    </row>
    <row r="1001" spans="1:15" x14ac:dyDescent="0.2">
      <c r="A1001" s="1" t="s">
        <v>29</v>
      </c>
      <c r="H1001" s="2" t="s">
        <v>2726</v>
      </c>
      <c r="J1001" s="7"/>
      <c r="K1001" s="7"/>
      <c r="L1001" s="7"/>
      <c r="M1001" s="7"/>
      <c r="N1001" s="9"/>
      <c r="O1001" s="9"/>
    </row>
    <row r="1002" spans="1:15" x14ac:dyDescent="0.2">
      <c r="A1002" s="4"/>
      <c r="H1002" s="2" t="s">
        <v>2726</v>
      </c>
      <c r="J1002" s="7"/>
      <c r="K1002" s="7"/>
      <c r="L1002" s="7"/>
      <c r="M1002" s="7"/>
      <c r="N1002" s="9"/>
      <c r="O1002" s="9"/>
    </row>
    <row r="1003" spans="1:15" x14ac:dyDescent="0.2">
      <c r="A1003" s="1" t="s">
        <v>2000</v>
      </c>
      <c r="B1003" s="2">
        <v>39.21</v>
      </c>
      <c r="C1003" s="2">
        <v>82.23</v>
      </c>
      <c r="D1003" s="2" t="s">
        <v>2001</v>
      </c>
      <c r="H1003" s="2" t="s">
        <v>3542</v>
      </c>
      <c r="J1003" s="7" t="str">
        <f t="shared" si="180"/>
        <v>Athens/Albany</v>
      </c>
      <c r="K1003" s="7" t="str">
        <f t="shared" si="181"/>
        <v xml:space="preserve">OH  </v>
      </c>
      <c r="L1003" s="7" t="str">
        <f t="shared" ref="L1003:L1020" si="186">LEFT(K1003,LEN(K1003)-1)</f>
        <v xml:space="preserve">OH </v>
      </c>
      <c r="M1003" s="7" t="str">
        <f t="shared" ref="M1003:M1020" si="187">SUBSTITUTE(L1003,",","")</f>
        <v xml:space="preserve">OH </v>
      </c>
      <c r="N1003" s="9">
        <f t="shared" ref="N1003:N1020" si="188">B1003</f>
        <v>39.21</v>
      </c>
      <c r="O1003" s="9">
        <f t="shared" ref="O1003:O1020" si="189">C1003</f>
        <v>82.23</v>
      </c>
    </row>
    <row r="1004" spans="1:15" x14ac:dyDescent="0.2">
      <c r="A1004" s="1" t="s">
        <v>2002</v>
      </c>
      <c r="B1004" s="2">
        <v>40.92</v>
      </c>
      <c r="C1004" s="2">
        <v>81.430000000000007</v>
      </c>
      <c r="D1004" s="2" t="s">
        <v>2003</v>
      </c>
      <c r="H1004" s="2" t="s">
        <v>3543</v>
      </c>
      <c r="J1004" s="7" t="str">
        <f t="shared" si="180"/>
        <v>Canton</v>
      </c>
      <c r="K1004" s="7" t="str">
        <f t="shared" si="181"/>
        <v xml:space="preserve">OH  </v>
      </c>
      <c r="L1004" s="7" t="str">
        <f t="shared" si="186"/>
        <v xml:space="preserve">OH </v>
      </c>
      <c r="M1004" s="7" t="str">
        <f t="shared" si="187"/>
        <v xml:space="preserve">OH </v>
      </c>
      <c r="N1004" s="9">
        <f t="shared" si="188"/>
        <v>40.92</v>
      </c>
      <c r="O1004" s="9">
        <f t="shared" si="189"/>
        <v>81.430000000000007</v>
      </c>
    </row>
    <row r="1005" spans="1:15" x14ac:dyDescent="0.2">
      <c r="A1005" s="1" t="s">
        <v>2004</v>
      </c>
      <c r="B1005" s="2">
        <v>39.049999999999997</v>
      </c>
      <c r="C1005" s="2">
        <v>84.67</v>
      </c>
      <c r="D1005" s="2" t="s">
        <v>2005</v>
      </c>
      <c r="H1005" s="2" t="s">
        <v>3544</v>
      </c>
      <c r="J1005" s="7" t="str">
        <f t="shared" si="180"/>
        <v>Cincinnati</v>
      </c>
      <c r="K1005" s="7" t="str">
        <f t="shared" si="181"/>
        <v xml:space="preserve">OH  </v>
      </c>
      <c r="L1005" s="7" t="str">
        <f t="shared" si="186"/>
        <v xml:space="preserve">OH </v>
      </c>
      <c r="M1005" s="7" t="str">
        <f t="shared" si="187"/>
        <v xml:space="preserve">OH </v>
      </c>
      <c r="N1005" s="9">
        <f t="shared" si="188"/>
        <v>39.049999999999997</v>
      </c>
      <c r="O1005" s="9">
        <f t="shared" si="189"/>
        <v>84.67</v>
      </c>
    </row>
    <row r="1006" spans="1:15" x14ac:dyDescent="0.2">
      <c r="A1006" s="1" t="s">
        <v>2006</v>
      </c>
      <c r="B1006" s="2">
        <v>39.1</v>
      </c>
      <c r="C1006" s="2">
        <v>84.43</v>
      </c>
      <c r="D1006" s="2" t="s">
        <v>2005</v>
      </c>
      <c r="H1006" s="2" t="s">
        <v>3544</v>
      </c>
      <c r="J1006" s="7" t="str">
        <f t="shared" si="180"/>
        <v>Cincinnati</v>
      </c>
      <c r="K1006" s="7" t="str">
        <f t="shared" si="181"/>
        <v xml:space="preserve">OH  </v>
      </c>
      <c r="L1006" s="7" t="str">
        <f t="shared" si="186"/>
        <v xml:space="preserve">OH </v>
      </c>
      <c r="M1006" s="7" t="str">
        <f t="shared" si="187"/>
        <v xml:space="preserve">OH </v>
      </c>
      <c r="N1006" s="9">
        <f t="shared" si="188"/>
        <v>39.1</v>
      </c>
      <c r="O1006" s="9">
        <f t="shared" si="189"/>
        <v>84.43</v>
      </c>
    </row>
    <row r="1007" spans="1:15" x14ac:dyDescent="0.2">
      <c r="A1007" s="1" t="s">
        <v>2007</v>
      </c>
      <c r="B1007" s="2">
        <v>41.52</v>
      </c>
      <c r="C1007" s="2">
        <v>81.680000000000007</v>
      </c>
      <c r="D1007" s="2" t="s">
        <v>2008</v>
      </c>
      <c r="H1007" s="2" t="s">
        <v>3545</v>
      </c>
      <c r="J1007" s="7" t="str">
        <f t="shared" si="180"/>
        <v>Cleveland</v>
      </c>
      <c r="K1007" s="7" t="str">
        <f t="shared" si="181"/>
        <v xml:space="preserve">OH  </v>
      </c>
      <c r="L1007" s="7" t="str">
        <f t="shared" si="186"/>
        <v xml:space="preserve">OH </v>
      </c>
      <c r="M1007" s="7" t="str">
        <f t="shared" si="187"/>
        <v xml:space="preserve">OH </v>
      </c>
      <c r="N1007" s="9">
        <f t="shared" si="188"/>
        <v>41.52</v>
      </c>
      <c r="O1007" s="9">
        <f t="shared" si="189"/>
        <v>81.680000000000007</v>
      </c>
    </row>
    <row r="1008" spans="1:15" x14ac:dyDescent="0.2">
      <c r="A1008" s="1" t="s">
        <v>2009</v>
      </c>
      <c r="B1008" s="2">
        <v>41.57</v>
      </c>
      <c r="C1008" s="2">
        <v>81.48</v>
      </c>
      <c r="D1008" s="2" t="s">
        <v>2008</v>
      </c>
      <c r="H1008" s="2" t="s">
        <v>3545</v>
      </c>
      <c r="J1008" s="7" t="str">
        <f t="shared" si="180"/>
        <v>Cleveland</v>
      </c>
      <c r="K1008" s="7" t="str">
        <f t="shared" si="181"/>
        <v xml:space="preserve">OH  </v>
      </c>
      <c r="L1008" s="7" t="str">
        <f t="shared" si="186"/>
        <v xml:space="preserve">OH </v>
      </c>
      <c r="M1008" s="7" t="str">
        <f t="shared" si="187"/>
        <v xml:space="preserve">OH </v>
      </c>
      <c r="N1008" s="9">
        <f t="shared" si="188"/>
        <v>41.57</v>
      </c>
      <c r="O1008" s="9">
        <f t="shared" si="189"/>
        <v>81.48</v>
      </c>
    </row>
    <row r="1009" spans="1:15" x14ac:dyDescent="0.2">
      <c r="A1009" s="1" t="s">
        <v>2010</v>
      </c>
      <c r="B1009" s="2">
        <v>41.42</v>
      </c>
      <c r="C1009" s="2">
        <v>81.87</v>
      </c>
      <c r="D1009" s="2" t="s">
        <v>2008</v>
      </c>
      <c r="H1009" s="2" t="s">
        <v>3545</v>
      </c>
      <c r="J1009" s="7" t="str">
        <f t="shared" si="180"/>
        <v>Cleveland</v>
      </c>
      <c r="K1009" s="7" t="str">
        <f t="shared" si="181"/>
        <v xml:space="preserve">OH  </v>
      </c>
      <c r="L1009" s="7" t="str">
        <f t="shared" si="186"/>
        <v xml:space="preserve">OH </v>
      </c>
      <c r="M1009" s="7" t="str">
        <f t="shared" si="187"/>
        <v xml:space="preserve">OH </v>
      </c>
      <c r="N1009" s="9">
        <f t="shared" si="188"/>
        <v>41.42</v>
      </c>
      <c r="O1009" s="9">
        <f t="shared" si="189"/>
        <v>81.87</v>
      </c>
    </row>
    <row r="1010" spans="1:15" x14ac:dyDescent="0.2">
      <c r="A1010" s="1" t="s">
        <v>2011</v>
      </c>
      <c r="B1010" s="2">
        <v>40</v>
      </c>
      <c r="C1010" s="2">
        <v>82.88</v>
      </c>
      <c r="D1010" s="2" t="s">
        <v>2012</v>
      </c>
      <c r="H1010" s="2" t="s">
        <v>3546</v>
      </c>
      <c r="J1010" s="7" t="str">
        <f t="shared" si="180"/>
        <v>Columbus</v>
      </c>
      <c r="K1010" s="7" t="str">
        <f t="shared" si="181"/>
        <v xml:space="preserve">OH  </v>
      </c>
      <c r="L1010" s="7" t="str">
        <f t="shared" si="186"/>
        <v xml:space="preserve">OH </v>
      </c>
      <c r="M1010" s="7" t="str">
        <f t="shared" si="187"/>
        <v xml:space="preserve">OH </v>
      </c>
      <c r="N1010" s="9">
        <f t="shared" si="188"/>
        <v>40</v>
      </c>
      <c r="O1010" s="9">
        <f t="shared" si="189"/>
        <v>82.88</v>
      </c>
    </row>
    <row r="1011" spans="1:15" x14ac:dyDescent="0.2">
      <c r="A1011" s="1" t="s">
        <v>2013</v>
      </c>
      <c r="B1011" s="2">
        <v>40.08</v>
      </c>
      <c r="C1011" s="2">
        <v>83.07</v>
      </c>
      <c r="D1011" s="2" t="s">
        <v>1505</v>
      </c>
      <c r="E1011" s="2" t="s">
        <v>2014</v>
      </c>
      <c r="H1011" s="2" t="s">
        <v>3547</v>
      </c>
      <c r="J1011" s="7" t="str">
        <f t="shared" si="180"/>
        <v>Columbus Os</v>
      </c>
      <c r="K1011" s="7" t="str">
        <f t="shared" si="181"/>
        <v xml:space="preserve">,OH </v>
      </c>
      <c r="L1011" s="7" t="str">
        <f t="shared" si="186"/>
        <v>,OH</v>
      </c>
      <c r="M1011" s="7" t="str">
        <f t="shared" si="187"/>
        <v>OH</v>
      </c>
      <c r="N1011" s="9">
        <f t="shared" si="188"/>
        <v>40.08</v>
      </c>
      <c r="O1011" s="9">
        <f t="shared" si="189"/>
        <v>83.07</v>
      </c>
    </row>
    <row r="1012" spans="1:15" x14ac:dyDescent="0.2">
      <c r="A1012" s="1" t="s">
        <v>2015</v>
      </c>
      <c r="B1012" s="2">
        <v>39.9</v>
      </c>
      <c r="C1012" s="2">
        <v>84.2</v>
      </c>
      <c r="D1012" s="2" t="s">
        <v>2016</v>
      </c>
      <c r="H1012" s="2" t="s">
        <v>3548</v>
      </c>
      <c r="J1012" s="7" t="str">
        <f t="shared" si="180"/>
        <v>Dayton</v>
      </c>
      <c r="K1012" s="7" t="str">
        <f t="shared" si="181"/>
        <v xml:space="preserve">OH  </v>
      </c>
      <c r="L1012" s="7" t="str">
        <f t="shared" si="186"/>
        <v xml:space="preserve">OH </v>
      </c>
      <c r="M1012" s="7" t="str">
        <f t="shared" si="187"/>
        <v xml:space="preserve">OH </v>
      </c>
      <c r="N1012" s="9">
        <f t="shared" si="188"/>
        <v>39.9</v>
      </c>
      <c r="O1012" s="9">
        <f t="shared" si="189"/>
        <v>84.2</v>
      </c>
    </row>
    <row r="1013" spans="1:15" x14ac:dyDescent="0.2">
      <c r="A1013" s="1" t="s">
        <v>2017</v>
      </c>
      <c r="B1013" s="2">
        <v>41.02</v>
      </c>
      <c r="C1013" s="2">
        <v>83.67</v>
      </c>
      <c r="D1013" s="2" t="s">
        <v>2018</v>
      </c>
      <c r="H1013" s="2" t="s">
        <v>3549</v>
      </c>
      <c r="J1013" s="7" t="str">
        <f t="shared" si="180"/>
        <v>Findlay</v>
      </c>
      <c r="K1013" s="7" t="str">
        <f t="shared" si="181"/>
        <v xml:space="preserve">OH  </v>
      </c>
      <c r="L1013" s="7" t="str">
        <f t="shared" si="186"/>
        <v xml:space="preserve">OH </v>
      </c>
      <c r="M1013" s="7" t="str">
        <f t="shared" si="187"/>
        <v xml:space="preserve">OH </v>
      </c>
      <c r="N1013" s="9">
        <f t="shared" si="188"/>
        <v>41.02</v>
      </c>
      <c r="O1013" s="9">
        <f t="shared" si="189"/>
        <v>83.67</v>
      </c>
    </row>
    <row r="1014" spans="1:15" x14ac:dyDescent="0.2">
      <c r="A1014" s="1" t="s">
        <v>2019</v>
      </c>
      <c r="B1014" s="2">
        <v>40.82</v>
      </c>
      <c r="C1014" s="2">
        <v>82.52</v>
      </c>
      <c r="D1014" s="2" t="s">
        <v>2020</v>
      </c>
      <c r="H1014" s="2" t="s">
        <v>3550</v>
      </c>
      <c r="J1014" s="7" t="str">
        <f t="shared" si="180"/>
        <v>Mansfield</v>
      </c>
      <c r="K1014" s="7" t="str">
        <f t="shared" si="181"/>
        <v xml:space="preserve">OH  </v>
      </c>
      <c r="L1014" s="7" t="str">
        <f t="shared" si="186"/>
        <v xml:space="preserve">OH </v>
      </c>
      <c r="M1014" s="7" t="str">
        <f t="shared" si="187"/>
        <v xml:space="preserve">OH </v>
      </c>
      <c r="N1014" s="9">
        <f t="shared" si="188"/>
        <v>40.82</v>
      </c>
      <c r="O1014" s="9">
        <f t="shared" si="189"/>
        <v>82.52</v>
      </c>
    </row>
    <row r="1015" spans="1:15" x14ac:dyDescent="0.2">
      <c r="A1015" s="1" t="s">
        <v>2021</v>
      </c>
      <c r="B1015" s="2">
        <v>39.82</v>
      </c>
      <c r="C1015" s="2">
        <v>82.93</v>
      </c>
      <c r="D1015" s="2" t="s">
        <v>2022</v>
      </c>
      <c r="H1015" s="2" t="s">
        <v>3551</v>
      </c>
      <c r="J1015" s="7" t="str">
        <f t="shared" si="180"/>
        <v>Rickenbacker</v>
      </c>
      <c r="K1015" s="7" t="str">
        <f t="shared" si="181"/>
        <v xml:space="preserve">OH  </v>
      </c>
      <c r="L1015" s="7" t="str">
        <f t="shared" si="186"/>
        <v xml:space="preserve">OH </v>
      </c>
      <c r="M1015" s="7" t="str">
        <f t="shared" si="187"/>
        <v xml:space="preserve">OH </v>
      </c>
      <c r="N1015" s="9">
        <f t="shared" si="188"/>
        <v>39.82</v>
      </c>
      <c r="O1015" s="9">
        <f t="shared" si="189"/>
        <v>82.93</v>
      </c>
    </row>
    <row r="1016" spans="1:15" x14ac:dyDescent="0.2">
      <c r="A1016" s="1" t="s">
        <v>2023</v>
      </c>
      <c r="B1016" s="2">
        <v>41.6</v>
      </c>
      <c r="C1016" s="2">
        <v>83.8</v>
      </c>
      <c r="D1016" s="2" t="s">
        <v>2024</v>
      </c>
      <c r="H1016" s="2" t="s">
        <v>3552</v>
      </c>
      <c r="J1016" s="7" t="str">
        <f t="shared" si="180"/>
        <v>Toledo</v>
      </c>
      <c r="K1016" s="7" t="str">
        <f t="shared" si="181"/>
        <v xml:space="preserve">OH  </v>
      </c>
      <c r="L1016" s="7" t="str">
        <f t="shared" si="186"/>
        <v xml:space="preserve">OH </v>
      </c>
      <c r="M1016" s="7" t="str">
        <f t="shared" si="187"/>
        <v xml:space="preserve">OH </v>
      </c>
      <c r="N1016" s="9">
        <f t="shared" si="188"/>
        <v>41.6</v>
      </c>
      <c r="O1016" s="9">
        <f t="shared" si="189"/>
        <v>83.8</v>
      </c>
    </row>
    <row r="1017" spans="1:15" x14ac:dyDescent="0.2">
      <c r="A1017" s="1" t="s">
        <v>2025</v>
      </c>
      <c r="B1017" s="2">
        <v>41.63</v>
      </c>
      <c r="C1017" s="2">
        <v>81.400000000000006</v>
      </c>
      <c r="D1017" s="2" t="s">
        <v>2026</v>
      </c>
      <c r="H1017" s="2" t="s">
        <v>3553</v>
      </c>
      <c r="J1017" s="7" t="str">
        <f t="shared" si="180"/>
        <v>Willoughby</v>
      </c>
      <c r="K1017" s="7" t="str">
        <f t="shared" si="181"/>
        <v xml:space="preserve">OH  </v>
      </c>
      <c r="L1017" s="7" t="str">
        <f t="shared" si="186"/>
        <v xml:space="preserve">OH </v>
      </c>
      <c r="M1017" s="7" t="str">
        <f t="shared" si="187"/>
        <v xml:space="preserve">OH </v>
      </c>
      <c r="N1017" s="9">
        <f t="shared" si="188"/>
        <v>41.63</v>
      </c>
      <c r="O1017" s="9">
        <f t="shared" si="189"/>
        <v>81.400000000000006</v>
      </c>
    </row>
    <row r="1018" spans="1:15" x14ac:dyDescent="0.2">
      <c r="A1018" s="1" t="s">
        <v>2027</v>
      </c>
      <c r="B1018" s="2">
        <v>39.83</v>
      </c>
      <c r="C1018" s="2">
        <v>84.05</v>
      </c>
      <c r="D1018" s="2" t="s">
        <v>2028</v>
      </c>
      <c r="E1018" s="2" t="s">
        <v>2029</v>
      </c>
      <c r="H1018" s="2" t="s">
        <v>3554</v>
      </c>
      <c r="J1018" s="7" t="str">
        <f t="shared" si="180"/>
        <v>Wright-Pat AF</v>
      </c>
      <c r="K1018" s="7" t="str">
        <f t="shared" si="181"/>
        <v xml:space="preserve">,OH </v>
      </c>
      <c r="L1018" s="7" t="str">
        <f t="shared" si="186"/>
        <v>,OH</v>
      </c>
      <c r="M1018" s="7" t="str">
        <f t="shared" si="187"/>
        <v>OH</v>
      </c>
      <c r="N1018" s="9">
        <f t="shared" si="188"/>
        <v>39.83</v>
      </c>
      <c r="O1018" s="9">
        <f t="shared" si="189"/>
        <v>84.05</v>
      </c>
    </row>
    <row r="1019" spans="1:15" x14ac:dyDescent="0.2">
      <c r="A1019" s="1" t="s">
        <v>2030</v>
      </c>
      <c r="B1019" s="2">
        <v>41.27</v>
      </c>
      <c r="C1019" s="2">
        <v>80.67</v>
      </c>
      <c r="D1019" s="2" t="s">
        <v>2031</v>
      </c>
      <c r="H1019" s="2" t="s">
        <v>3555</v>
      </c>
      <c r="J1019" s="7" t="str">
        <f t="shared" si="180"/>
        <v>Youngstown</v>
      </c>
      <c r="K1019" s="7" t="str">
        <f t="shared" si="181"/>
        <v xml:space="preserve">OH  </v>
      </c>
      <c r="L1019" s="7" t="str">
        <f t="shared" si="186"/>
        <v xml:space="preserve">OH </v>
      </c>
      <c r="M1019" s="7" t="str">
        <f t="shared" si="187"/>
        <v xml:space="preserve">OH </v>
      </c>
      <c r="N1019" s="9">
        <f t="shared" si="188"/>
        <v>41.27</v>
      </c>
      <c r="O1019" s="9">
        <f t="shared" si="189"/>
        <v>80.67</v>
      </c>
    </row>
    <row r="1020" spans="1:15" x14ac:dyDescent="0.2">
      <c r="A1020" s="1" t="s">
        <v>2032</v>
      </c>
      <c r="B1020" s="2">
        <v>39.950000000000003</v>
      </c>
      <c r="C1020" s="2">
        <v>81.900000000000006</v>
      </c>
      <c r="D1020" s="2" t="s">
        <v>2033</v>
      </c>
      <c r="H1020" s="2" t="s">
        <v>3556</v>
      </c>
      <c r="J1020" s="7" t="str">
        <f t="shared" si="180"/>
        <v>Zanesville</v>
      </c>
      <c r="K1020" s="7" t="str">
        <f t="shared" si="181"/>
        <v xml:space="preserve">OH  </v>
      </c>
      <c r="L1020" s="7" t="str">
        <f t="shared" si="186"/>
        <v xml:space="preserve">OH </v>
      </c>
      <c r="M1020" s="7" t="str">
        <f t="shared" si="187"/>
        <v xml:space="preserve">OH </v>
      </c>
      <c r="N1020" s="9">
        <f t="shared" si="188"/>
        <v>39.950000000000003</v>
      </c>
      <c r="O1020" s="9">
        <f t="shared" si="189"/>
        <v>81.900000000000006</v>
      </c>
    </row>
    <row r="1021" spans="1:15" x14ac:dyDescent="0.2">
      <c r="A1021" s="4"/>
      <c r="H1021" s="2" t="s">
        <v>2726</v>
      </c>
      <c r="J1021" s="7"/>
      <c r="K1021" s="7"/>
      <c r="L1021" s="7"/>
      <c r="M1021" s="7"/>
      <c r="N1021" s="9"/>
      <c r="O1021" s="9"/>
    </row>
    <row r="1022" spans="1:15" x14ac:dyDescent="0.2">
      <c r="A1022" s="1" t="s">
        <v>30</v>
      </c>
      <c r="H1022" s="2" t="s">
        <v>2726</v>
      </c>
      <c r="J1022" s="7"/>
      <c r="K1022" s="7"/>
      <c r="L1022" s="7"/>
      <c r="M1022" s="7"/>
      <c r="N1022" s="9"/>
      <c r="O1022" s="9"/>
    </row>
    <row r="1023" spans="1:15" x14ac:dyDescent="0.2">
      <c r="A1023" s="4"/>
      <c r="H1023" s="2" t="s">
        <v>2726</v>
      </c>
      <c r="J1023" s="7"/>
      <c r="K1023" s="7"/>
      <c r="L1023" s="7"/>
      <c r="M1023" s="7"/>
      <c r="N1023" s="9"/>
      <c r="O1023" s="9"/>
    </row>
    <row r="1024" spans="1:15" x14ac:dyDescent="0.2">
      <c r="A1024" s="1" t="s">
        <v>2034</v>
      </c>
      <c r="B1024" s="2">
        <v>34.67</v>
      </c>
      <c r="C1024" s="2">
        <v>99.27</v>
      </c>
      <c r="D1024" s="2" t="s">
        <v>2035</v>
      </c>
      <c r="E1024" s="2" t="s">
        <v>2036</v>
      </c>
      <c r="H1024" s="2" t="s">
        <v>3557</v>
      </c>
      <c r="J1024" s="7" t="str">
        <f t="shared" si="180"/>
        <v>Altus AF</v>
      </c>
      <c r="K1024" s="7" t="str">
        <f t="shared" si="181"/>
        <v xml:space="preserve">,OK </v>
      </c>
      <c r="L1024" s="7" t="str">
        <f t="shared" ref="L1024:L1042" si="190">LEFT(K1024,LEN(K1024)-1)</f>
        <v>,OK</v>
      </c>
      <c r="M1024" s="7" t="str">
        <f t="shared" ref="M1024:M1042" si="191">SUBSTITUTE(L1024,",","")</f>
        <v>OK</v>
      </c>
      <c r="N1024" s="9">
        <f t="shared" ref="N1024:N1042" si="192">B1024</f>
        <v>34.67</v>
      </c>
      <c r="O1024" s="9">
        <f t="shared" ref="O1024:O1042" si="193">C1024</f>
        <v>99.27</v>
      </c>
    </row>
    <row r="1025" spans="1:15" x14ac:dyDescent="0.2">
      <c r="A1025" s="1" t="s">
        <v>2037</v>
      </c>
      <c r="B1025" s="2">
        <v>34.299999999999997</v>
      </c>
      <c r="C1025" s="2">
        <v>97.02</v>
      </c>
      <c r="D1025" s="2" t="s">
        <v>2038</v>
      </c>
      <c r="H1025" s="2" t="s">
        <v>3558</v>
      </c>
      <c r="J1025" s="7" t="str">
        <f t="shared" si="180"/>
        <v>Ardmore</v>
      </c>
      <c r="K1025" s="7" t="str">
        <f t="shared" si="181"/>
        <v xml:space="preserve">OK  </v>
      </c>
      <c r="L1025" s="7" t="str">
        <f t="shared" si="190"/>
        <v xml:space="preserve">OK </v>
      </c>
      <c r="M1025" s="7" t="str">
        <f t="shared" si="191"/>
        <v xml:space="preserve">OK </v>
      </c>
      <c r="N1025" s="9">
        <f t="shared" si="192"/>
        <v>34.299999999999997</v>
      </c>
      <c r="O1025" s="9">
        <f t="shared" si="193"/>
        <v>97.02</v>
      </c>
    </row>
    <row r="1026" spans="1:15" x14ac:dyDescent="0.2">
      <c r="A1026" s="1" t="s">
        <v>2039</v>
      </c>
      <c r="B1026" s="2">
        <v>36.75</v>
      </c>
      <c r="C1026" s="2">
        <v>96</v>
      </c>
      <c r="D1026" s="2" t="s">
        <v>2040</v>
      </c>
      <c r="H1026" s="2" t="s">
        <v>3559</v>
      </c>
      <c r="J1026" s="7" t="str">
        <f t="shared" si="180"/>
        <v>Bartlesville</v>
      </c>
      <c r="K1026" s="7" t="str">
        <f t="shared" si="181"/>
        <v xml:space="preserve">OK  </v>
      </c>
      <c r="L1026" s="7" t="str">
        <f t="shared" si="190"/>
        <v xml:space="preserve">OK </v>
      </c>
      <c r="M1026" s="7" t="str">
        <f t="shared" si="191"/>
        <v xml:space="preserve">OK </v>
      </c>
      <c r="N1026" s="9">
        <f t="shared" si="192"/>
        <v>36.75</v>
      </c>
      <c r="O1026" s="9">
        <f t="shared" si="193"/>
        <v>96</v>
      </c>
    </row>
    <row r="1027" spans="1:15" x14ac:dyDescent="0.2">
      <c r="A1027" s="1" t="s">
        <v>2041</v>
      </c>
      <c r="B1027" s="2">
        <v>35.35</v>
      </c>
      <c r="C1027" s="2">
        <v>99.2</v>
      </c>
      <c r="D1027" s="2" t="s">
        <v>2042</v>
      </c>
      <c r="H1027" s="2" t="s">
        <v>3560</v>
      </c>
      <c r="J1027" s="7" t="str">
        <f t="shared" si="180"/>
        <v>Clinton</v>
      </c>
      <c r="K1027" s="7" t="str">
        <f t="shared" si="181"/>
        <v xml:space="preserve">OK  </v>
      </c>
      <c r="L1027" s="7" t="str">
        <f t="shared" si="190"/>
        <v xml:space="preserve">OK </v>
      </c>
      <c r="M1027" s="7" t="str">
        <f t="shared" si="191"/>
        <v xml:space="preserve">OK </v>
      </c>
      <c r="N1027" s="9">
        <f t="shared" si="192"/>
        <v>35.35</v>
      </c>
      <c r="O1027" s="9">
        <f t="shared" si="193"/>
        <v>99.2</v>
      </c>
    </row>
    <row r="1028" spans="1:15" x14ac:dyDescent="0.2">
      <c r="A1028" s="1" t="s">
        <v>2043</v>
      </c>
      <c r="B1028" s="2">
        <v>36.380000000000003</v>
      </c>
      <c r="C1028" s="2">
        <v>97.8</v>
      </c>
      <c r="D1028" s="2" t="s">
        <v>2044</v>
      </c>
      <c r="H1028" s="2" t="s">
        <v>3561</v>
      </c>
      <c r="J1028" s="7" t="str">
        <f t="shared" si="180"/>
        <v>Enid</v>
      </c>
      <c r="K1028" s="7" t="str">
        <f t="shared" si="181"/>
        <v xml:space="preserve">OK  </v>
      </c>
      <c r="L1028" s="7" t="str">
        <f t="shared" si="190"/>
        <v xml:space="preserve">OK </v>
      </c>
      <c r="M1028" s="7" t="str">
        <f t="shared" si="191"/>
        <v xml:space="preserve">OK </v>
      </c>
      <c r="N1028" s="9">
        <f t="shared" si="192"/>
        <v>36.380000000000003</v>
      </c>
      <c r="O1028" s="9">
        <f t="shared" si="193"/>
        <v>97.8</v>
      </c>
    </row>
    <row r="1029" spans="1:15" x14ac:dyDescent="0.2">
      <c r="A1029" s="1" t="s">
        <v>2045</v>
      </c>
      <c r="B1029" s="2">
        <v>34.65</v>
      </c>
      <c r="C1029" s="2">
        <v>98.4</v>
      </c>
      <c r="D1029" s="2" t="s">
        <v>71</v>
      </c>
      <c r="E1029" s="2" t="s">
        <v>2046</v>
      </c>
      <c r="H1029" s="2" t="s">
        <v>3562</v>
      </c>
      <c r="J1029" s="7" t="str">
        <f t="shared" si="180"/>
        <v>Fort Sil</v>
      </c>
      <c r="K1029" s="7" t="str">
        <f t="shared" si="181"/>
        <v xml:space="preserve">,OK </v>
      </c>
      <c r="L1029" s="7" t="str">
        <f t="shared" si="190"/>
        <v>,OK</v>
      </c>
      <c r="M1029" s="7" t="str">
        <f t="shared" si="191"/>
        <v>OK</v>
      </c>
      <c r="N1029" s="9">
        <f t="shared" si="192"/>
        <v>34.65</v>
      </c>
      <c r="O1029" s="9">
        <f t="shared" si="193"/>
        <v>98.4</v>
      </c>
    </row>
    <row r="1030" spans="1:15" x14ac:dyDescent="0.2">
      <c r="A1030" s="1" t="s">
        <v>2047</v>
      </c>
      <c r="B1030" s="2">
        <v>36.299999999999997</v>
      </c>
      <c r="C1030" s="2">
        <v>99.77</v>
      </c>
      <c r="D1030" s="2" t="s">
        <v>2048</v>
      </c>
      <c r="H1030" s="2" t="s">
        <v>3563</v>
      </c>
      <c r="J1030" s="7" t="str">
        <f t="shared" si="180"/>
        <v>Gage</v>
      </c>
      <c r="K1030" s="7" t="str">
        <f t="shared" si="181"/>
        <v xml:space="preserve">OK  </v>
      </c>
      <c r="L1030" s="7" t="str">
        <f t="shared" si="190"/>
        <v xml:space="preserve">OK </v>
      </c>
      <c r="M1030" s="7" t="str">
        <f t="shared" si="191"/>
        <v xml:space="preserve">OK </v>
      </c>
      <c r="N1030" s="9">
        <f t="shared" si="192"/>
        <v>36.299999999999997</v>
      </c>
      <c r="O1030" s="9">
        <f t="shared" si="193"/>
        <v>99.77</v>
      </c>
    </row>
    <row r="1031" spans="1:15" x14ac:dyDescent="0.2">
      <c r="A1031" s="1" t="s">
        <v>2049</v>
      </c>
      <c r="B1031" s="2">
        <v>35</v>
      </c>
      <c r="C1031" s="2">
        <v>99.05</v>
      </c>
      <c r="D1031" s="2" t="s">
        <v>2050</v>
      </c>
      <c r="H1031" s="2" t="s">
        <v>3564</v>
      </c>
      <c r="J1031" s="7" t="str">
        <f t="shared" si="180"/>
        <v>Hobart</v>
      </c>
      <c r="K1031" s="7" t="str">
        <f t="shared" si="181"/>
        <v xml:space="preserve">OK  </v>
      </c>
      <c r="L1031" s="7" t="str">
        <f t="shared" si="190"/>
        <v xml:space="preserve">OK </v>
      </c>
      <c r="M1031" s="7" t="str">
        <f t="shared" si="191"/>
        <v xml:space="preserve">OK </v>
      </c>
      <c r="N1031" s="9">
        <f t="shared" si="192"/>
        <v>35</v>
      </c>
      <c r="O1031" s="9">
        <f t="shared" si="193"/>
        <v>99.05</v>
      </c>
    </row>
    <row r="1032" spans="1:15" x14ac:dyDescent="0.2">
      <c r="A1032" s="1" t="s">
        <v>2051</v>
      </c>
      <c r="B1032" s="2">
        <v>34.57</v>
      </c>
      <c r="C1032" s="2">
        <v>98.42</v>
      </c>
      <c r="D1032" s="2" t="s">
        <v>2052</v>
      </c>
      <c r="H1032" s="2" t="s">
        <v>3565</v>
      </c>
      <c r="J1032" s="7" t="str">
        <f t="shared" si="180"/>
        <v>Lawton</v>
      </c>
      <c r="K1032" s="7" t="str">
        <f t="shared" si="181"/>
        <v xml:space="preserve">OK  </v>
      </c>
      <c r="L1032" s="7" t="str">
        <f t="shared" si="190"/>
        <v xml:space="preserve">OK </v>
      </c>
      <c r="M1032" s="7" t="str">
        <f t="shared" si="191"/>
        <v xml:space="preserve">OK </v>
      </c>
      <c r="N1032" s="9">
        <f t="shared" si="192"/>
        <v>34.57</v>
      </c>
      <c r="O1032" s="9">
        <f t="shared" si="193"/>
        <v>98.42</v>
      </c>
    </row>
    <row r="1033" spans="1:15" x14ac:dyDescent="0.2">
      <c r="A1033" s="1" t="s">
        <v>2053</v>
      </c>
      <c r="B1033" s="2">
        <v>34.880000000000003</v>
      </c>
      <c r="C1033" s="2">
        <v>95.78</v>
      </c>
      <c r="D1033" s="2" t="s">
        <v>2054</v>
      </c>
      <c r="H1033" s="2" t="s">
        <v>3566</v>
      </c>
      <c r="J1033" s="7" t="str">
        <f t="shared" si="180"/>
        <v>Mcalester</v>
      </c>
      <c r="K1033" s="7" t="str">
        <f t="shared" si="181"/>
        <v xml:space="preserve">OK  </v>
      </c>
      <c r="L1033" s="7" t="str">
        <f t="shared" si="190"/>
        <v xml:space="preserve">OK </v>
      </c>
      <c r="M1033" s="7" t="str">
        <f t="shared" si="191"/>
        <v xml:space="preserve">OK </v>
      </c>
      <c r="N1033" s="9">
        <f t="shared" si="192"/>
        <v>34.880000000000003</v>
      </c>
      <c r="O1033" s="9">
        <f t="shared" si="193"/>
        <v>95.78</v>
      </c>
    </row>
    <row r="1034" spans="1:15" x14ac:dyDescent="0.2">
      <c r="A1034" s="1" t="s">
        <v>2055</v>
      </c>
      <c r="B1034" s="2">
        <v>35.229999999999997</v>
      </c>
      <c r="C1034" s="2">
        <v>97.47</v>
      </c>
      <c r="D1034" s="2" t="s">
        <v>2056</v>
      </c>
      <c r="H1034" s="2" t="s">
        <v>3567</v>
      </c>
      <c r="J1034" s="7" t="str">
        <f t="shared" si="180"/>
        <v>Norman</v>
      </c>
      <c r="K1034" s="7" t="str">
        <f t="shared" si="181"/>
        <v xml:space="preserve">OK  </v>
      </c>
      <c r="L1034" s="7" t="str">
        <f t="shared" si="190"/>
        <v xml:space="preserve">OK </v>
      </c>
      <c r="M1034" s="7" t="str">
        <f t="shared" si="191"/>
        <v xml:space="preserve">OK </v>
      </c>
      <c r="N1034" s="9">
        <f t="shared" si="192"/>
        <v>35.229999999999997</v>
      </c>
      <c r="O1034" s="9">
        <f t="shared" si="193"/>
        <v>97.47</v>
      </c>
    </row>
    <row r="1035" spans="1:15" x14ac:dyDescent="0.2">
      <c r="A1035" s="1" t="s">
        <v>2057</v>
      </c>
      <c r="B1035" s="2">
        <v>35.4</v>
      </c>
      <c r="C1035" s="2">
        <v>97.6</v>
      </c>
      <c r="D1035" s="2" t="s">
        <v>30</v>
      </c>
      <c r="E1035" s="2" t="s">
        <v>2058</v>
      </c>
      <c r="H1035" s="2" t="s">
        <v>3568</v>
      </c>
      <c r="J1035" s="7" t="str">
        <f t="shared" si="180"/>
        <v>Oklahoma Ct</v>
      </c>
      <c r="K1035" s="7" t="str">
        <f t="shared" si="181"/>
        <v xml:space="preserve">,OK </v>
      </c>
      <c r="L1035" s="7" t="str">
        <f t="shared" si="190"/>
        <v>,OK</v>
      </c>
      <c r="M1035" s="7" t="str">
        <f t="shared" si="191"/>
        <v>OK</v>
      </c>
      <c r="N1035" s="9">
        <f t="shared" si="192"/>
        <v>35.4</v>
      </c>
      <c r="O1035" s="9">
        <f t="shared" si="193"/>
        <v>97.6</v>
      </c>
    </row>
    <row r="1036" spans="1:15" x14ac:dyDescent="0.2">
      <c r="A1036" s="1" t="s">
        <v>2059</v>
      </c>
      <c r="B1036" s="2">
        <v>35.53</v>
      </c>
      <c r="C1036" s="2">
        <v>97.65</v>
      </c>
      <c r="D1036" s="2" t="s">
        <v>30</v>
      </c>
      <c r="E1036" s="2" t="s">
        <v>2058</v>
      </c>
      <c r="H1036" s="2" t="s">
        <v>3568</v>
      </c>
      <c r="J1036" s="7" t="str">
        <f t="shared" si="180"/>
        <v>Oklahoma Ct</v>
      </c>
      <c r="K1036" s="7" t="str">
        <f t="shared" si="181"/>
        <v xml:space="preserve">,OK </v>
      </c>
      <c r="L1036" s="7" t="str">
        <f t="shared" si="190"/>
        <v>,OK</v>
      </c>
      <c r="M1036" s="7" t="str">
        <f t="shared" si="191"/>
        <v>OK</v>
      </c>
      <c r="N1036" s="9">
        <f t="shared" si="192"/>
        <v>35.53</v>
      </c>
      <c r="O1036" s="9">
        <f t="shared" si="193"/>
        <v>97.65</v>
      </c>
    </row>
    <row r="1037" spans="1:15" x14ac:dyDescent="0.2">
      <c r="A1037" s="1" t="s">
        <v>2060</v>
      </c>
      <c r="B1037" s="2">
        <v>34.68</v>
      </c>
      <c r="C1037" s="2">
        <v>94.62</v>
      </c>
      <c r="D1037" s="2" t="s">
        <v>2061</v>
      </c>
      <c r="H1037" s="2" t="s">
        <v>3569</v>
      </c>
      <c r="J1037" s="7" t="str">
        <f t="shared" si="180"/>
        <v>Page</v>
      </c>
      <c r="K1037" s="7" t="str">
        <f t="shared" si="181"/>
        <v xml:space="preserve">OK  </v>
      </c>
      <c r="L1037" s="7" t="str">
        <f t="shared" si="190"/>
        <v xml:space="preserve">OK </v>
      </c>
      <c r="M1037" s="7" t="str">
        <f t="shared" si="191"/>
        <v xml:space="preserve">OK </v>
      </c>
      <c r="N1037" s="9">
        <f t="shared" si="192"/>
        <v>34.68</v>
      </c>
      <c r="O1037" s="9">
        <f t="shared" si="193"/>
        <v>94.62</v>
      </c>
    </row>
    <row r="1038" spans="1:15" x14ac:dyDescent="0.2">
      <c r="A1038" s="1" t="s">
        <v>2062</v>
      </c>
      <c r="B1038" s="2">
        <v>36.729999999999997</v>
      </c>
      <c r="C1038" s="2">
        <v>97.1</v>
      </c>
      <c r="D1038" s="2" t="s">
        <v>2063</v>
      </c>
      <c r="E1038" s="2" t="s">
        <v>2064</v>
      </c>
      <c r="H1038" s="2" t="s">
        <v>3570</v>
      </c>
      <c r="J1038" s="7" t="str">
        <f t="shared" si="180"/>
        <v>Ponca Cit</v>
      </c>
      <c r="K1038" s="7" t="str">
        <f t="shared" si="181"/>
        <v xml:space="preserve">,OK </v>
      </c>
      <c r="L1038" s="7" t="str">
        <f t="shared" si="190"/>
        <v>,OK</v>
      </c>
      <c r="M1038" s="7" t="str">
        <f t="shared" si="191"/>
        <v>OK</v>
      </c>
      <c r="N1038" s="9">
        <f t="shared" si="192"/>
        <v>36.729999999999997</v>
      </c>
      <c r="O1038" s="9">
        <f t="shared" si="193"/>
        <v>97.1</v>
      </c>
    </row>
    <row r="1039" spans="1:15" x14ac:dyDescent="0.2">
      <c r="A1039" s="1" t="s">
        <v>2065</v>
      </c>
      <c r="B1039" s="2">
        <v>36.159999999999997</v>
      </c>
      <c r="C1039" s="2">
        <v>97.09</v>
      </c>
      <c r="D1039" s="2" t="s">
        <v>2066</v>
      </c>
      <c r="H1039" s="2" t="s">
        <v>3571</v>
      </c>
      <c r="J1039" s="7" t="str">
        <f t="shared" si="180"/>
        <v>Stillwater</v>
      </c>
      <c r="K1039" s="7" t="str">
        <f t="shared" si="181"/>
        <v xml:space="preserve">OK  </v>
      </c>
      <c r="L1039" s="7" t="str">
        <f t="shared" si="190"/>
        <v xml:space="preserve">OK </v>
      </c>
      <c r="M1039" s="7" t="str">
        <f t="shared" si="191"/>
        <v xml:space="preserve">OK </v>
      </c>
      <c r="N1039" s="9">
        <f t="shared" si="192"/>
        <v>36.159999999999997</v>
      </c>
      <c r="O1039" s="9">
        <f t="shared" si="193"/>
        <v>97.09</v>
      </c>
    </row>
    <row r="1040" spans="1:15" x14ac:dyDescent="0.2">
      <c r="A1040" s="1" t="s">
        <v>2067</v>
      </c>
      <c r="B1040" s="2">
        <v>35.42</v>
      </c>
      <c r="C1040" s="2">
        <v>97.38</v>
      </c>
      <c r="D1040" s="2" t="s">
        <v>2068</v>
      </c>
      <c r="E1040" s="2" t="s">
        <v>2036</v>
      </c>
      <c r="H1040" s="2" t="s">
        <v>3572</v>
      </c>
      <c r="J1040" s="7" t="str">
        <f t="shared" si="180"/>
        <v>Tinker AF</v>
      </c>
      <c r="K1040" s="7" t="str">
        <f t="shared" si="181"/>
        <v xml:space="preserve">,OK </v>
      </c>
      <c r="L1040" s="7" t="str">
        <f t="shared" si="190"/>
        <v>,OK</v>
      </c>
      <c r="M1040" s="7" t="str">
        <f t="shared" si="191"/>
        <v>OK</v>
      </c>
      <c r="N1040" s="9">
        <f t="shared" si="192"/>
        <v>35.42</v>
      </c>
      <c r="O1040" s="9">
        <f t="shared" si="193"/>
        <v>97.38</v>
      </c>
    </row>
    <row r="1041" spans="1:15" x14ac:dyDescent="0.2">
      <c r="A1041" s="1" t="s">
        <v>2069</v>
      </c>
      <c r="B1041" s="2">
        <v>36.200000000000003</v>
      </c>
      <c r="C1041" s="2">
        <v>95.9</v>
      </c>
      <c r="D1041" s="2" t="s">
        <v>2070</v>
      </c>
      <c r="H1041" s="2" t="s">
        <v>3573</v>
      </c>
      <c r="J1041" s="7" t="str">
        <f t="shared" si="180"/>
        <v>Tulsa</v>
      </c>
      <c r="K1041" s="7" t="str">
        <f t="shared" si="181"/>
        <v xml:space="preserve">OK  </v>
      </c>
      <c r="L1041" s="7" t="str">
        <f t="shared" si="190"/>
        <v xml:space="preserve">OK </v>
      </c>
      <c r="M1041" s="7" t="str">
        <f t="shared" si="191"/>
        <v xml:space="preserve">OK </v>
      </c>
      <c r="N1041" s="9">
        <f t="shared" si="192"/>
        <v>36.200000000000003</v>
      </c>
      <c r="O1041" s="9">
        <f t="shared" si="193"/>
        <v>95.9</v>
      </c>
    </row>
    <row r="1042" spans="1:15" x14ac:dyDescent="0.2">
      <c r="A1042" s="1" t="s">
        <v>2071</v>
      </c>
      <c r="B1042" s="2">
        <v>36.33</v>
      </c>
      <c r="C1042" s="2">
        <v>97.92</v>
      </c>
      <c r="D1042" s="2" t="s">
        <v>2072</v>
      </c>
      <c r="E1042" s="2" t="s">
        <v>2036</v>
      </c>
      <c r="H1042" s="2" t="s">
        <v>3574</v>
      </c>
      <c r="J1042" s="7" t="str">
        <f t="shared" si="180"/>
        <v>Vance AF</v>
      </c>
      <c r="K1042" s="7" t="str">
        <f t="shared" si="181"/>
        <v xml:space="preserve">,OK </v>
      </c>
      <c r="L1042" s="7" t="str">
        <f t="shared" si="190"/>
        <v>,OK</v>
      </c>
      <c r="M1042" s="7" t="str">
        <f t="shared" si="191"/>
        <v>OK</v>
      </c>
      <c r="N1042" s="9">
        <f t="shared" si="192"/>
        <v>36.33</v>
      </c>
      <c r="O1042" s="9">
        <f t="shared" si="193"/>
        <v>97.92</v>
      </c>
    </row>
    <row r="1043" spans="1:15" x14ac:dyDescent="0.2">
      <c r="A1043" s="4"/>
      <c r="H1043" s="2" t="s">
        <v>2726</v>
      </c>
      <c r="J1043" s="7"/>
      <c r="K1043" s="7"/>
      <c r="L1043" s="7"/>
      <c r="M1043" s="7"/>
      <c r="N1043" s="9"/>
      <c r="O1043" s="9"/>
    </row>
    <row r="1044" spans="1:15" x14ac:dyDescent="0.2">
      <c r="A1044" s="1" t="s">
        <v>31</v>
      </c>
      <c r="H1044" s="2" t="s">
        <v>2726</v>
      </c>
      <c r="J1044" s="7"/>
      <c r="K1044" s="7"/>
      <c r="L1044" s="7"/>
      <c r="M1044" s="7"/>
      <c r="N1044" s="9"/>
      <c r="O1044" s="9"/>
    </row>
    <row r="1045" spans="1:15" x14ac:dyDescent="0.2">
      <c r="A1045" s="4"/>
      <c r="H1045" s="2" t="s">
        <v>2726</v>
      </c>
      <c r="J1045" s="7"/>
      <c r="K1045" s="7"/>
      <c r="L1045" s="7"/>
      <c r="M1045" s="7"/>
      <c r="N1045" s="9"/>
      <c r="O1045" s="9"/>
    </row>
    <row r="1046" spans="1:15" x14ac:dyDescent="0.2">
      <c r="A1046" s="1" t="s">
        <v>2073</v>
      </c>
      <c r="B1046" s="2">
        <v>46.15</v>
      </c>
      <c r="C1046" s="2">
        <v>123.88</v>
      </c>
      <c r="D1046" s="2" t="s">
        <v>2074</v>
      </c>
      <c r="H1046" s="2" t="s">
        <v>3575</v>
      </c>
      <c r="J1046" s="7" t="str">
        <f t="shared" ref="J1046:J1107" si="194">LEFT(H1046,LEN(H1046)-5)</f>
        <v>Astoria</v>
      </c>
      <c r="K1046" s="7" t="str">
        <f t="shared" ref="K1046:K1107" si="195">RIGHT(H1046,4)</f>
        <v xml:space="preserve">OR  </v>
      </c>
      <c r="L1046" s="7" t="str">
        <f t="shared" ref="L1046:L1071" si="196">LEFT(K1046,LEN(K1046)-1)</f>
        <v xml:space="preserve">OR </v>
      </c>
      <c r="M1046" s="7" t="str">
        <f t="shared" ref="M1046:M1071" si="197">SUBSTITUTE(L1046,",","")</f>
        <v xml:space="preserve">OR </v>
      </c>
      <c r="N1046" s="9">
        <f t="shared" ref="N1046:N1071" si="198">B1046</f>
        <v>46.15</v>
      </c>
      <c r="O1046" s="9">
        <f t="shared" ref="O1046:O1071" si="199">C1046</f>
        <v>123.88</v>
      </c>
    </row>
    <row r="1047" spans="1:15" x14ac:dyDescent="0.2">
      <c r="A1047" s="1" t="s">
        <v>2075</v>
      </c>
      <c r="B1047" s="2">
        <v>45.25</v>
      </c>
      <c r="C1047" s="2">
        <v>122.75</v>
      </c>
      <c r="D1047" s="2" t="s">
        <v>2076</v>
      </c>
      <c r="H1047" s="2" t="s">
        <v>3576</v>
      </c>
      <c r="J1047" s="7" t="str">
        <f t="shared" si="194"/>
        <v>Aurora</v>
      </c>
      <c r="K1047" s="7" t="str">
        <f t="shared" si="195"/>
        <v xml:space="preserve">OR  </v>
      </c>
      <c r="L1047" s="7" t="str">
        <f t="shared" si="196"/>
        <v xml:space="preserve">OR </v>
      </c>
      <c r="M1047" s="7" t="str">
        <f t="shared" si="197"/>
        <v xml:space="preserve">OR </v>
      </c>
      <c r="N1047" s="9">
        <f t="shared" si="198"/>
        <v>45.25</v>
      </c>
      <c r="O1047" s="9">
        <f t="shared" si="199"/>
        <v>122.75</v>
      </c>
    </row>
    <row r="1048" spans="1:15" x14ac:dyDescent="0.2">
      <c r="A1048" s="1" t="s">
        <v>2077</v>
      </c>
      <c r="B1048" s="2">
        <v>44.83</v>
      </c>
      <c r="C1048" s="2">
        <v>117.82</v>
      </c>
      <c r="D1048" s="2" t="s">
        <v>2078</v>
      </c>
      <c r="H1048" s="2" t="s">
        <v>3577</v>
      </c>
      <c r="J1048" s="7" t="str">
        <f t="shared" si="194"/>
        <v>Baker</v>
      </c>
      <c r="K1048" s="7" t="str">
        <f t="shared" si="195"/>
        <v xml:space="preserve">OR  </v>
      </c>
      <c r="L1048" s="7" t="str">
        <f t="shared" si="196"/>
        <v xml:space="preserve">OR </v>
      </c>
      <c r="M1048" s="7" t="str">
        <f t="shared" si="197"/>
        <v xml:space="preserve">OR </v>
      </c>
      <c r="N1048" s="9">
        <f t="shared" si="198"/>
        <v>44.83</v>
      </c>
      <c r="O1048" s="9">
        <f t="shared" si="199"/>
        <v>117.82</v>
      </c>
    </row>
    <row r="1049" spans="1:15" x14ac:dyDescent="0.2">
      <c r="A1049" s="1" t="s">
        <v>2079</v>
      </c>
      <c r="B1049" s="2">
        <v>42.08</v>
      </c>
      <c r="C1049" s="2">
        <v>124.47</v>
      </c>
      <c r="D1049" s="2" t="s">
        <v>2080</v>
      </c>
      <c r="H1049" s="2" t="s">
        <v>3578</v>
      </c>
      <c r="J1049" s="7" t="str">
        <f t="shared" si="194"/>
        <v>Brookings</v>
      </c>
      <c r="K1049" s="7" t="str">
        <f t="shared" si="195"/>
        <v xml:space="preserve">OR  </v>
      </c>
      <c r="L1049" s="7" t="str">
        <f t="shared" si="196"/>
        <v xml:space="preserve">OR </v>
      </c>
      <c r="M1049" s="7" t="str">
        <f t="shared" si="197"/>
        <v xml:space="preserve">OR </v>
      </c>
      <c r="N1049" s="9">
        <f t="shared" si="198"/>
        <v>42.08</v>
      </c>
      <c r="O1049" s="9">
        <f t="shared" si="199"/>
        <v>124.47</v>
      </c>
    </row>
    <row r="1050" spans="1:15" x14ac:dyDescent="0.2">
      <c r="A1050" s="1" t="s">
        <v>2081</v>
      </c>
      <c r="B1050" s="2">
        <v>43.6</v>
      </c>
      <c r="C1050" s="2">
        <v>118.95</v>
      </c>
      <c r="D1050" s="2" t="s">
        <v>2082</v>
      </c>
      <c r="E1050" s="2" t="s">
        <v>2083</v>
      </c>
      <c r="H1050" s="2" t="s">
        <v>3579</v>
      </c>
      <c r="J1050" s="7" t="str">
        <f t="shared" si="194"/>
        <v>Burns Arp</v>
      </c>
      <c r="K1050" s="7" t="str">
        <f t="shared" si="195"/>
        <v xml:space="preserve">,OR </v>
      </c>
      <c r="L1050" s="7" t="str">
        <f t="shared" si="196"/>
        <v>,OR</v>
      </c>
      <c r="M1050" s="7" t="str">
        <f t="shared" si="197"/>
        <v>OR</v>
      </c>
      <c r="N1050" s="9">
        <f t="shared" si="198"/>
        <v>43.6</v>
      </c>
      <c r="O1050" s="9">
        <f t="shared" si="199"/>
        <v>118.95</v>
      </c>
    </row>
    <row r="1051" spans="1:15" x14ac:dyDescent="0.2">
      <c r="A1051" s="1" t="s">
        <v>2084</v>
      </c>
      <c r="B1051" s="2">
        <v>43.38</v>
      </c>
      <c r="C1051" s="2">
        <v>124.95</v>
      </c>
      <c r="D1051" s="2" t="s">
        <v>131</v>
      </c>
      <c r="E1051" s="2" t="s">
        <v>2085</v>
      </c>
      <c r="H1051" s="2" t="s">
        <v>3580</v>
      </c>
      <c r="J1051" s="7" t="str">
        <f t="shared" si="194"/>
        <v>Cape Blanc</v>
      </c>
      <c r="K1051" s="7" t="str">
        <f t="shared" si="195"/>
        <v xml:space="preserve">,OR </v>
      </c>
      <c r="L1051" s="7" t="str">
        <f t="shared" si="196"/>
        <v>,OR</v>
      </c>
      <c r="M1051" s="7" t="str">
        <f t="shared" si="197"/>
        <v>OR</v>
      </c>
      <c r="N1051" s="9">
        <f t="shared" si="198"/>
        <v>43.38</v>
      </c>
      <c r="O1051" s="9">
        <f t="shared" si="199"/>
        <v>124.95</v>
      </c>
    </row>
    <row r="1052" spans="1:15" x14ac:dyDescent="0.2">
      <c r="A1052" s="1" t="s">
        <v>2086</v>
      </c>
      <c r="B1052" s="2">
        <v>45.68</v>
      </c>
      <c r="C1052" s="2">
        <v>121.88</v>
      </c>
      <c r="D1052" s="2" t="s">
        <v>2087</v>
      </c>
      <c r="H1052" s="2" t="s">
        <v>3581</v>
      </c>
      <c r="J1052" s="7" t="str">
        <f t="shared" si="194"/>
        <v>Cascade</v>
      </c>
      <c r="K1052" s="7" t="str">
        <f t="shared" si="195"/>
        <v xml:space="preserve">OR  </v>
      </c>
      <c r="L1052" s="7" t="str">
        <f t="shared" si="196"/>
        <v xml:space="preserve">OR </v>
      </c>
      <c r="M1052" s="7" t="str">
        <f t="shared" si="197"/>
        <v xml:space="preserve">OR </v>
      </c>
      <c r="N1052" s="9">
        <f t="shared" si="198"/>
        <v>45.68</v>
      </c>
      <c r="O1052" s="9">
        <f t="shared" si="199"/>
        <v>121.88</v>
      </c>
    </row>
    <row r="1053" spans="1:15" x14ac:dyDescent="0.2">
      <c r="A1053" s="1" t="s">
        <v>2088</v>
      </c>
      <c r="B1053" s="2">
        <v>44.5</v>
      </c>
      <c r="C1053" s="2">
        <v>123.28</v>
      </c>
      <c r="D1053" s="2" t="s">
        <v>2089</v>
      </c>
      <c r="H1053" s="2" t="s">
        <v>3582</v>
      </c>
      <c r="J1053" s="7" t="str">
        <f t="shared" si="194"/>
        <v>Corvallis</v>
      </c>
      <c r="K1053" s="7" t="str">
        <f t="shared" si="195"/>
        <v xml:space="preserve">OR  </v>
      </c>
      <c r="L1053" s="7" t="str">
        <f t="shared" si="196"/>
        <v xml:space="preserve">OR </v>
      </c>
      <c r="M1053" s="7" t="str">
        <f t="shared" si="197"/>
        <v xml:space="preserve">OR </v>
      </c>
      <c r="N1053" s="9">
        <f t="shared" si="198"/>
        <v>44.5</v>
      </c>
      <c r="O1053" s="9">
        <f t="shared" si="199"/>
        <v>123.28</v>
      </c>
    </row>
    <row r="1054" spans="1:15" x14ac:dyDescent="0.2">
      <c r="A1054" s="1" t="s">
        <v>2090</v>
      </c>
      <c r="B1054" s="2">
        <v>44.12</v>
      </c>
      <c r="C1054" s="2">
        <v>123.22</v>
      </c>
      <c r="D1054" s="2" t="s">
        <v>2091</v>
      </c>
      <c r="H1054" s="2" t="s">
        <v>3583</v>
      </c>
      <c r="J1054" s="7" t="str">
        <f t="shared" si="194"/>
        <v>Eugene</v>
      </c>
      <c r="K1054" s="7" t="str">
        <f t="shared" si="195"/>
        <v xml:space="preserve">OR  </v>
      </c>
      <c r="L1054" s="7" t="str">
        <f t="shared" si="196"/>
        <v xml:space="preserve">OR </v>
      </c>
      <c r="M1054" s="7" t="str">
        <f t="shared" si="197"/>
        <v xml:space="preserve">OR </v>
      </c>
      <c r="N1054" s="9">
        <f t="shared" si="198"/>
        <v>44.12</v>
      </c>
      <c r="O1054" s="9">
        <f t="shared" si="199"/>
        <v>123.22</v>
      </c>
    </row>
    <row r="1055" spans="1:15" x14ac:dyDescent="0.2">
      <c r="A1055" s="1" t="s">
        <v>2092</v>
      </c>
      <c r="B1055" s="2">
        <v>45.53</v>
      </c>
      <c r="C1055" s="2">
        <v>122.95</v>
      </c>
      <c r="D1055" s="2" t="s">
        <v>2093</v>
      </c>
      <c r="H1055" s="2" t="s">
        <v>3584</v>
      </c>
      <c r="J1055" s="7" t="str">
        <f t="shared" si="194"/>
        <v>Hillsboro</v>
      </c>
      <c r="K1055" s="7" t="str">
        <f t="shared" si="195"/>
        <v xml:space="preserve">OR  </v>
      </c>
      <c r="L1055" s="7" t="str">
        <f t="shared" si="196"/>
        <v xml:space="preserve">OR </v>
      </c>
      <c r="M1055" s="7" t="str">
        <f t="shared" si="197"/>
        <v xml:space="preserve">OR </v>
      </c>
      <c r="N1055" s="9">
        <f t="shared" si="198"/>
        <v>45.53</v>
      </c>
      <c r="O1055" s="9">
        <f t="shared" si="199"/>
        <v>122.95</v>
      </c>
    </row>
    <row r="1056" spans="1:15" x14ac:dyDescent="0.2">
      <c r="A1056" s="1" t="s">
        <v>2094</v>
      </c>
      <c r="B1056" s="2">
        <v>42.15</v>
      </c>
      <c r="C1056" s="2">
        <v>121.73</v>
      </c>
      <c r="D1056" s="2" t="s">
        <v>2095</v>
      </c>
      <c r="E1056" s="2" t="s">
        <v>2096</v>
      </c>
      <c r="H1056" s="2" t="s">
        <v>3585</v>
      </c>
      <c r="J1056" s="7" t="str">
        <f t="shared" si="194"/>
        <v>Klamath Fal</v>
      </c>
      <c r="K1056" s="7" t="str">
        <f t="shared" si="195"/>
        <v xml:space="preserve">,OR </v>
      </c>
      <c r="L1056" s="7" t="str">
        <f t="shared" si="196"/>
        <v>,OR</v>
      </c>
      <c r="M1056" s="7" t="str">
        <f t="shared" si="197"/>
        <v>OR</v>
      </c>
      <c r="N1056" s="9">
        <f t="shared" si="198"/>
        <v>42.15</v>
      </c>
      <c r="O1056" s="9">
        <f t="shared" si="199"/>
        <v>121.73</v>
      </c>
    </row>
    <row r="1057" spans="1:15" x14ac:dyDescent="0.2">
      <c r="A1057" s="1" t="s">
        <v>2097</v>
      </c>
      <c r="B1057" s="2">
        <v>45.28</v>
      </c>
      <c r="C1057" s="2">
        <v>118</v>
      </c>
      <c r="D1057" s="2" t="s">
        <v>507</v>
      </c>
      <c r="E1057" s="2" t="s">
        <v>2098</v>
      </c>
      <c r="H1057" s="2" t="s">
        <v>3586</v>
      </c>
      <c r="J1057" s="7" t="str">
        <f t="shared" si="194"/>
        <v>La Grand</v>
      </c>
      <c r="K1057" s="7" t="str">
        <f t="shared" si="195"/>
        <v xml:space="preserve">,OR </v>
      </c>
      <c r="L1057" s="7" t="str">
        <f t="shared" si="196"/>
        <v>,OR</v>
      </c>
      <c r="M1057" s="7" t="str">
        <f t="shared" si="197"/>
        <v>OR</v>
      </c>
      <c r="N1057" s="9">
        <f t="shared" si="198"/>
        <v>45.28</v>
      </c>
      <c r="O1057" s="9">
        <f t="shared" si="199"/>
        <v>118</v>
      </c>
    </row>
    <row r="1058" spans="1:15" x14ac:dyDescent="0.2">
      <c r="A1058" s="1" t="s">
        <v>2099</v>
      </c>
      <c r="B1058" s="2">
        <v>42.18</v>
      </c>
      <c r="C1058" s="2">
        <v>120.35</v>
      </c>
      <c r="D1058" s="2" t="s">
        <v>510</v>
      </c>
      <c r="E1058" s="2" t="s">
        <v>2100</v>
      </c>
      <c r="H1058" s="2" t="s">
        <v>3587</v>
      </c>
      <c r="J1058" s="7" t="str">
        <f t="shared" si="194"/>
        <v>Lake Vie</v>
      </c>
      <c r="K1058" s="7" t="str">
        <f t="shared" si="195"/>
        <v xml:space="preserve">,OR </v>
      </c>
      <c r="L1058" s="7" t="str">
        <f t="shared" si="196"/>
        <v>,OR</v>
      </c>
      <c r="M1058" s="7" t="str">
        <f t="shared" si="197"/>
        <v>OR</v>
      </c>
      <c r="N1058" s="9">
        <f t="shared" si="198"/>
        <v>42.18</v>
      </c>
      <c r="O1058" s="9">
        <f t="shared" si="199"/>
        <v>120.35</v>
      </c>
    </row>
    <row r="1059" spans="1:15" x14ac:dyDescent="0.2">
      <c r="A1059" s="1" t="s">
        <v>2101</v>
      </c>
      <c r="B1059" s="2">
        <v>45.5</v>
      </c>
      <c r="C1059" s="2">
        <v>118.4</v>
      </c>
      <c r="D1059" s="2" t="s">
        <v>2102</v>
      </c>
      <c r="H1059" s="2" t="s">
        <v>3588</v>
      </c>
      <c r="J1059" s="7" t="str">
        <f t="shared" si="194"/>
        <v>Meacham</v>
      </c>
      <c r="K1059" s="7" t="str">
        <f t="shared" si="195"/>
        <v xml:space="preserve">OR  </v>
      </c>
      <c r="L1059" s="7" t="str">
        <f t="shared" si="196"/>
        <v xml:space="preserve">OR </v>
      </c>
      <c r="M1059" s="7" t="str">
        <f t="shared" si="197"/>
        <v xml:space="preserve">OR </v>
      </c>
      <c r="N1059" s="9">
        <f t="shared" si="198"/>
        <v>45.5</v>
      </c>
      <c r="O1059" s="9">
        <f t="shared" si="199"/>
        <v>118.4</v>
      </c>
    </row>
    <row r="1060" spans="1:15" x14ac:dyDescent="0.2">
      <c r="A1060" s="1" t="s">
        <v>2103</v>
      </c>
      <c r="B1060" s="2">
        <v>42.37</v>
      </c>
      <c r="C1060" s="2">
        <v>122.87</v>
      </c>
      <c r="D1060" s="2" t="s">
        <v>2104</v>
      </c>
      <c r="H1060" s="2" t="s">
        <v>3589</v>
      </c>
      <c r="J1060" s="7" t="str">
        <f t="shared" si="194"/>
        <v>Medford</v>
      </c>
      <c r="K1060" s="7" t="str">
        <f t="shared" si="195"/>
        <v xml:space="preserve">OR  </v>
      </c>
      <c r="L1060" s="7" t="str">
        <f t="shared" si="196"/>
        <v xml:space="preserve">OR </v>
      </c>
      <c r="M1060" s="7" t="str">
        <f t="shared" si="197"/>
        <v xml:space="preserve">OR </v>
      </c>
      <c r="N1060" s="9">
        <f t="shared" si="198"/>
        <v>42.37</v>
      </c>
      <c r="O1060" s="9">
        <f t="shared" si="199"/>
        <v>122.87</v>
      </c>
    </row>
    <row r="1061" spans="1:15" x14ac:dyDescent="0.2">
      <c r="A1061" s="1" t="s">
        <v>2105</v>
      </c>
      <c r="B1061" s="2">
        <v>44.63</v>
      </c>
      <c r="C1061" s="2">
        <v>124.05</v>
      </c>
      <c r="D1061" s="2" t="s">
        <v>2106</v>
      </c>
      <c r="H1061" s="2" t="s">
        <v>3590</v>
      </c>
      <c r="J1061" s="7" t="str">
        <f t="shared" si="194"/>
        <v>Newport</v>
      </c>
      <c r="K1061" s="7" t="str">
        <f t="shared" si="195"/>
        <v xml:space="preserve">OR  </v>
      </c>
      <c r="L1061" s="7" t="str">
        <f t="shared" si="196"/>
        <v xml:space="preserve">OR </v>
      </c>
      <c r="M1061" s="7" t="str">
        <f t="shared" si="197"/>
        <v xml:space="preserve">OR </v>
      </c>
      <c r="N1061" s="9">
        <f t="shared" si="198"/>
        <v>44.63</v>
      </c>
      <c r="O1061" s="9">
        <f t="shared" si="199"/>
        <v>124.05</v>
      </c>
    </row>
    <row r="1062" spans="1:15" x14ac:dyDescent="0.2">
      <c r="A1062" s="1" t="s">
        <v>2107</v>
      </c>
      <c r="B1062" s="2">
        <v>43.42</v>
      </c>
      <c r="C1062" s="2">
        <v>124.25</v>
      </c>
      <c r="D1062" s="2" t="s">
        <v>49</v>
      </c>
      <c r="E1062" s="2" t="s">
        <v>2108</v>
      </c>
      <c r="H1062" s="2" t="s">
        <v>3591</v>
      </c>
      <c r="J1062" s="7" t="str">
        <f t="shared" si="194"/>
        <v>North Ben</v>
      </c>
      <c r="K1062" s="7" t="str">
        <f t="shared" si="195"/>
        <v xml:space="preserve">,OR </v>
      </c>
      <c r="L1062" s="7" t="str">
        <f t="shared" si="196"/>
        <v>,OR</v>
      </c>
      <c r="M1062" s="7" t="str">
        <f t="shared" si="197"/>
        <v>OR</v>
      </c>
      <c r="N1062" s="9">
        <f t="shared" si="198"/>
        <v>43.42</v>
      </c>
      <c r="O1062" s="9">
        <f t="shared" si="199"/>
        <v>124.25</v>
      </c>
    </row>
    <row r="1063" spans="1:15" x14ac:dyDescent="0.2">
      <c r="A1063" s="1" t="s">
        <v>2109</v>
      </c>
      <c r="B1063" s="2">
        <v>44.02</v>
      </c>
      <c r="C1063" s="2">
        <v>117.02</v>
      </c>
      <c r="D1063" s="2" t="s">
        <v>2110</v>
      </c>
      <c r="H1063" s="2" t="s">
        <v>3592</v>
      </c>
      <c r="J1063" s="7" t="str">
        <f t="shared" si="194"/>
        <v>Ontario</v>
      </c>
      <c r="K1063" s="7" t="str">
        <f t="shared" si="195"/>
        <v xml:space="preserve">OR  </v>
      </c>
      <c r="L1063" s="7" t="str">
        <f t="shared" si="196"/>
        <v xml:space="preserve">OR </v>
      </c>
      <c r="M1063" s="7" t="str">
        <f t="shared" si="197"/>
        <v xml:space="preserve">OR </v>
      </c>
      <c r="N1063" s="9">
        <f t="shared" si="198"/>
        <v>44.02</v>
      </c>
      <c r="O1063" s="9">
        <f t="shared" si="199"/>
        <v>117.02</v>
      </c>
    </row>
    <row r="1064" spans="1:15" x14ac:dyDescent="0.2">
      <c r="A1064" s="1" t="s">
        <v>2111</v>
      </c>
      <c r="B1064" s="2">
        <v>45.68</v>
      </c>
      <c r="C1064" s="2">
        <v>118.85</v>
      </c>
      <c r="D1064" s="2" t="s">
        <v>2112</v>
      </c>
      <c r="H1064" s="2" t="s">
        <v>3593</v>
      </c>
      <c r="J1064" s="7" t="str">
        <f t="shared" si="194"/>
        <v>Pendleton</v>
      </c>
      <c r="K1064" s="7" t="str">
        <f t="shared" si="195"/>
        <v xml:space="preserve">OR  </v>
      </c>
      <c r="L1064" s="7" t="str">
        <f t="shared" si="196"/>
        <v xml:space="preserve">OR </v>
      </c>
      <c r="M1064" s="7" t="str">
        <f t="shared" si="197"/>
        <v xml:space="preserve">OR </v>
      </c>
      <c r="N1064" s="9">
        <f t="shared" si="198"/>
        <v>45.68</v>
      </c>
      <c r="O1064" s="9">
        <f t="shared" si="199"/>
        <v>118.85</v>
      </c>
    </row>
    <row r="1065" spans="1:15" x14ac:dyDescent="0.2">
      <c r="A1065" s="1" t="s">
        <v>2113</v>
      </c>
      <c r="B1065" s="2">
        <v>45.6</v>
      </c>
      <c r="C1065" s="2">
        <v>122.6</v>
      </c>
      <c r="D1065" s="2" t="s">
        <v>2114</v>
      </c>
      <c r="H1065" s="2" t="s">
        <v>3594</v>
      </c>
      <c r="J1065" s="7" t="str">
        <f t="shared" si="194"/>
        <v>Portland</v>
      </c>
      <c r="K1065" s="7" t="str">
        <f t="shared" si="195"/>
        <v xml:space="preserve">OR  </v>
      </c>
      <c r="L1065" s="7" t="str">
        <f t="shared" si="196"/>
        <v xml:space="preserve">OR </v>
      </c>
      <c r="M1065" s="7" t="str">
        <f t="shared" si="197"/>
        <v xml:space="preserve">OR </v>
      </c>
      <c r="N1065" s="9">
        <f t="shared" si="198"/>
        <v>45.6</v>
      </c>
      <c r="O1065" s="9">
        <f t="shared" si="199"/>
        <v>122.6</v>
      </c>
    </row>
    <row r="1066" spans="1:15" x14ac:dyDescent="0.2">
      <c r="A1066" s="1" t="s">
        <v>2115</v>
      </c>
      <c r="B1066" s="2">
        <v>44.27</v>
      </c>
      <c r="C1066" s="2">
        <v>121.15</v>
      </c>
      <c r="D1066" s="2" t="s">
        <v>2116</v>
      </c>
      <c r="H1066" s="2" t="s">
        <v>3595</v>
      </c>
      <c r="J1066" s="7" t="str">
        <f t="shared" si="194"/>
        <v>Redmond</v>
      </c>
      <c r="K1066" s="7" t="str">
        <f t="shared" si="195"/>
        <v xml:space="preserve">OR  </v>
      </c>
      <c r="L1066" s="7" t="str">
        <f t="shared" si="196"/>
        <v xml:space="preserve">OR </v>
      </c>
      <c r="M1066" s="7" t="str">
        <f t="shared" si="197"/>
        <v xml:space="preserve">OR </v>
      </c>
      <c r="N1066" s="9">
        <f t="shared" si="198"/>
        <v>44.27</v>
      </c>
      <c r="O1066" s="9">
        <f t="shared" si="199"/>
        <v>121.15</v>
      </c>
    </row>
    <row r="1067" spans="1:15" x14ac:dyDescent="0.2">
      <c r="A1067" s="1" t="s">
        <v>2117</v>
      </c>
      <c r="B1067" s="2">
        <v>43.23</v>
      </c>
      <c r="C1067" s="2">
        <v>123.37</v>
      </c>
      <c r="D1067" s="2" t="s">
        <v>2118</v>
      </c>
      <c r="H1067" s="2" t="s">
        <v>3596</v>
      </c>
      <c r="J1067" s="7" t="str">
        <f t="shared" si="194"/>
        <v>Roseburg</v>
      </c>
      <c r="K1067" s="7" t="str">
        <f t="shared" si="195"/>
        <v xml:space="preserve">OR  </v>
      </c>
      <c r="L1067" s="7" t="str">
        <f t="shared" si="196"/>
        <v xml:space="preserve">OR </v>
      </c>
      <c r="M1067" s="7" t="str">
        <f t="shared" si="197"/>
        <v xml:space="preserve">OR </v>
      </c>
      <c r="N1067" s="9">
        <f t="shared" si="198"/>
        <v>43.23</v>
      </c>
      <c r="O1067" s="9">
        <f t="shared" si="199"/>
        <v>123.37</v>
      </c>
    </row>
    <row r="1068" spans="1:15" x14ac:dyDescent="0.2">
      <c r="A1068" s="1" t="s">
        <v>2119</v>
      </c>
      <c r="B1068" s="2">
        <v>44.92</v>
      </c>
      <c r="C1068" s="2">
        <v>123</v>
      </c>
      <c r="D1068" s="2" t="s">
        <v>2120</v>
      </c>
      <c r="H1068" s="2" t="s">
        <v>3597</v>
      </c>
      <c r="J1068" s="7" t="str">
        <f t="shared" si="194"/>
        <v>Salem</v>
      </c>
      <c r="K1068" s="7" t="str">
        <f t="shared" si="195"/>
        <v xml:space="preserve">OR  </v>
      </c>
      <c r="L1068" s="7" t="str">
        <f t="shared" si="196"/>
        <v xml:space="preserve">OR </v>
      </c>
      <c r="M1068" s="7" t="str">
        <f t="shared" si="197"/>
        <v xml:space="preserve">OR </v>
      </c>
      <c r="N1068" s="9">
        <f t="shared" si="198"/>
        <v>44.92</v>
      </c>
      <c r="O1068" s="9">
        <f t="shared" si="199"/>
        <v>123</v>
      </c>
    </row>
    <row r="1069" spans="1:15" x14ac:dyDescent="0.2">
      <c r="A1069" s="1" t="s">
        <v>2121</v>
      </c>
      <c r="B1069" s="2">
        <v>42.62</v>
      </c>
      <c r="C1069" s="2">
        <v>123.37</v>
      </c>
      <c r="D1069" s="2" t="s">
        <v>2122</v>
      </c>
      <c r="H1069" s="2" t="s">
        <v>3598</v>
      </c>
      <c r="J1069" s="7" t="str">
        <f t="shared" si="194"/>
        <v>Sexton</v>
      </c>
      <c r="K1069" s="7" t="str">
        <f t="shared" si="195"/>
        <v xml:space="preserve">OR  </v>
      </c>
      <c r="L1069" s="7" t="str">
        <f t="shared" si="196"/>
        <v xml:space="preserve">OR </v>
      </c>
      <c r="M1069" s="7" t="str">
        <f t="shared" si="197"/>
        <v xml:space="preserve">OR </v>
      </c>
      <c r="N1069" s="9">
        <f t="shared" si="198"/>
        <v>42.62</v>
      </c>
      <c r="O1069" s="9">
        <f t="shared" si="199"/>
        <v>123.37</v>
      </c>
    </row>
    <row r="1070" spans="1:15" x14ac:dyDescent="0.2">
      <c r="A1070" s="1" t="s">
        <v>2123</v>
      </c>
      <c r="B1070" s="2">
        <v>45.62</v>
      </c>
      <c r="C1070" s="2">
        <v>121.15</v>
      </c>
      <c r="D1070" s="2" t="s">
        <v>2124</v>
      </c>
      <c r="E1070" s="2" t="s">
        <v>2125</v>
      </c>
      <c r="H1070" s="2" t="s">
        <v>3599</v>
      </c>
      <c r="J1070" s="7" t="str">
        <f t="shared" si="194"/>
        <v>The Dalle</v>
      </c>
      <c r="K1070" s="7" t="str">
        <f t="shared" si="195"/>
        <v xml:space="preserve">,OR </v>
      </c>
      <c r="L1070" s="7" t="str">
        <f t="shared" si="196"/>
        <v>,OR</v>
      </c>
      <c r="M1070" s="7" t="str">
        <f t="shared" si="197"/>
        <v>OR</v>
      </c>
      <c r="N1070" s="9">
        <f t="shared" si="198"/>
        <v>45.62</v>
      </c>
      <c r="O1070" s="9">
        <f t="shared" si="199"/>
        <v>121.15</v>
      </c>
    </row>
    <row r="1071" spans="1:15" x14ac:dyDescent="0.2">
      <c r="A1071" s="1" t="s">
        <v>2126</v>
      </c>
      <c r="B1071" s="2">
        <v>45.55</v>
      </c>
      <c r="C1071" s="2">
        <v>122.4</v>
      </c>
      <c r="D1071" s="2" t="s">
        <v>2127</v>
      </c>
      <c r="H1071" s="2" t="s">
        <v>3600</v>
      </c>
      <c r="J1071" s="7" t="str">
        <f t="shared" si="194"/>
        <v>Troutdale</v>
      </c>
      <c r="K1071" s="7" t="str">
        <f t="shared" si="195"/>
        <v xml:space="preserve">OR  </v>
      </c>
      <c r="L1071" s="7" t="str">
        <f t="shared" si="196"/>
        <v xml:space="preserve">OR </v>
      </c>
      <c r="M1071" s="7" t="str">
        <f t="shared" si="197"/>
        <v xml:space="preserve">OR </v>
      </c>
      <c r="N1071" s="9">
        <f t="shared" si="198"/>
        <v>45.55</v>
      </c>
      <c r="O1071" s="9">
        <f t="shared" si="199"/>
        <v>122.4</v>
      </c>
    </row>
    <row r="1072" spans="1:15" x14ac:dyDescent="0.2">
      <c r="A1072" s="4"/>
      <c r="H1072" s="2" t="s">
        <v>2726</v>
      </c>
      <c r="J1072" s="7"/>
      <c r="K1072" s="7"/>
      <c r="L1072" s="7"/>
      <c r="M1072" s="7"/>
      <c r="N1072" s="9"/>
      <c r="O1072" s="9"/>
    </row>
    <row r="1073" spans="1:15" x14ac:dyDescent="0.2">
      <c r="A1073" s="1" t="s">
        <v>32</v>
      </c>
      <c r="H1073" s="2" t="s">
        <v>2726</v>
      </c>
      <c r="J1073" s="7"/>
      <c r="K1073" s="7"/>
      <c r="L1073" s="7"/>
      <c r="M1073" s="7"/>
      <c r="N1073" s="9"/>
      <c r="O1073" s="9"/>
    </row>
    <row r="1074" spans="1:15" x14ac:dyDescent="0.2">
      <c r="A1074" s="4"/>
      <c r="H1074" s="2" t="s">
        <v>2726</v>
      </c>
      <c r="J1074" s="7"/>
      <c r="K1074" s="7"/>
      <c r="L1074" s="7"/>
      <c r="M1074" s="7"/>
      <c r="N1074" s="9"/>
      <c r="O1074" s="9"/>
    </row>
    <row r="1075" spans="1:15" x14ac:dyDescent="0.2">
      <c r="A1075" s="1" t="s">
        <v>2128</v>
      </c>
      <c r="B1075" s="2">
        <v>40.65</v>
      </c>
      <c r="C1075" s="2">
        <v>75.430000000000007</v>
      </c>
      <c r="D1075" s="2" t="s">
        <v>2129</v>
      </c>
      <c r="H1075" s="2" t="s">
        <v>3601</v>
      </c>
      <c r="J1075" s="7" t="str">
        <f t="shared" si="194"/>
        <v>Allentown</v>
      </c>
      <c r="K1075" s="7" t="str">
        <f t="shared" si="195"/>
        <v xml:space="preserve">PA  </v>
      </c>
      <c r="L1075" s="7" t="str">
        <f t="shared" ref="L1075:L1100" si="200">LEFT(K1075,LEN(K1075)-1)</f>
        <v xml:space="preserve">PA </v>
      </c>
      <c r="M1075" s="7" t="str">
        <f t="shared" ref="M1075:M1100" si="201">SUBSTITUTE(L1075,",","")</f>
        <v xml:space="preserve">PA </v>
      </c>
      <c r="N1075" s="9">
        <f t="shared" ref="N1075:N1100" si="202">B1075</f>
        <v>40.65</v>
      </c>
      <c r="O1075" s="9">
        <f t="shared" ref="O1075:O1100" si="203">C1075</f>
        <v>75.430000000000007</v>
      </c>
    </row>
    <row r="1076" spans="1:15" x14ac:dyDescent="0.2">
      <c r="A1076" s="1" t="s">
        <v>2130</v>
      </c>
      <c r="B1076" s="2">
        <v>40.299999999999997</v>
      </c>
      <c r="C1076" s="2">
        <v>78.319999999999993</v>
      </c>
      <c r="D1076" s="2" t="s">
        <v>2131</v>
      </c>
      <c r="H1076" s="2" t="s">
        <v>3602</v>
      </c>
      <c r="J1076" s="7" t="str">
        <f t="shared" si="194"/>
        <v>Altoona</v>
      </c>
      <c r="K1076" s="7" t="str">
        <f t="shared" si="195"/>
        <v xml:space="preserve">PA  </v>
      </c>
      <c r="L1076" s="7" t="str">
        <f t="shared" si="200"/>
        <v xml:space="preserve">PA </v>
      </c>
      <c r="M1076" s="7" t="str">
        <f t="shared" si="201"/>
        <v xml:space="preserve">PA </v>
      </c>
      <c r="N1076" s="9">
        <f t="shared" si="202"/>
        <v>40.299999999999997</v>
      </c>
      <c r="O1076" s="9">
        <f t="shared" si="203"/>
        <v>78.319999999999993</v>
      </c>
    </row>
    <row r="1077" spans="1:15" x14ac:dyDescent="0.2">
      <c r="A1077" s="1" t="s">
        <v>2132</v>
      </c>
      <c r="B1077" s="2">
        <v>40.75</v>
      </c>
      <c r="C1077" s="2">
        <v>80.33</v>
      </c>
      <c r="D1077" s="2" t="s">
        <v>2133</v>
      </c>
      <c r="E1077" s="2" t="s">
        <v>2134</v>
      </c>
      <c r="H1077" s="2" t="s">
        <v>3603</v>
      </c>
      <c r="J1077" s="7" t="str">
        <f t="shared" si="194"/>
        <v>Beaver Fall</v>
      </c>
      <c r="K1077" s="7" t="str">
        <f t="shared" si="195"/>
        <v xml:space="preserve">,PA </v>
      </c>
      <c r="L1077" s="7" t="str">
        <f t="shared" si="200"/>
        <v>,PA</v>
      </c>
      <c r="M1077" s="7" t="str">
        <f t="shared" si="201"/>
        <v>PA</v>
      </c>
      <c r="N1077" s="9">
        <f t="shared" si="202"/>
        <v>40.75</v>
      </c>
      <c r="O1077" s="9">
        <f t="shared" si="203"/>
        <v>80.33</v>
      </c>
    </row>
    <row r="1078" spans="1:15" x14ac:dyDescent="0.2">
      <c r="A1078" s="1" t="s">
        <v>2135</v>
      </c>
      <c r="B1078" s="2">
        <v>40.270000000000003</v>
      </c>
      <c r="C1078" s="2">
        <v>79.09</v>
      </c>
      <c r="D1078" s="2" t="s">
        <v>2136</v>
      </c>
      <c r="H1078" s="2" t="s">
        <v>3604</v>
      </c>
      <c r="J1078" s="7" t="str">
        <f t="shared" si="194"/>
        <v>Blairsville</v>
      </c>
      <c r="K1078" s="7" t="str">
        <f t="shared" si="195"/>
        <v xml:space="preserve">PA  </v>
      </c>
      <c r="L1078" s="7" t="str">
        <f t="shared" si="200"/>
        <v xml:space="preserve">PA </v>
      </c>
      <c r="M1078" s="7" t="str">
        <f t="shared" si="201"/>
        <v xml:space="preserve">PA </v>
      </c>
      <c r="N1078" s="9">
        <f t="shared" si="202"/>
        <v>40.270000000000003</v>
      </c>
      <c r="O1078" s="9">
        <f t="shared" si="203"/>
        <v>79.09</v>
      </c>
    </row>
    <row r="1079" spans="1:15" x14ac:dyDescent="0.2">
      <c r="A1079" s="1" t="s">
        <v>2137</v>
      </c>
      <c r="B1079" s="2">
        <v>41.8</v>
      </c>
      <c r="C1079" s="2">
        <v>78.63</v>
      </c>
      <c r="D1079" s="2" t="s">
        <v>2138</v>
      </c>
      <c r="H1079" s="2" t="s">
        <v>3605</v>
      </c>
      <c r="J1079" s="7" t="str">
        <f t="shared" si="194"/>
        <v>Bradford</v>
      </c>
      <c r="K1079" s="7" t="str">
        <f t="shared" si="195"/>
        <v xml:space="preserve">PA  </v>
      </c>
      <c r="L1079" s="7" t="str">
        <f t="shared" si="200"/>
        <v xml:space="preserve">PA </v>
      </c>
      <c r="M1079" s="7" t="str">
        <f t="shared" si="201"/>
        <v xml:space="preserve">PA </v>
      </c>
      <c r="N1079" s="9">
        <f t="shared" si="202"/>
        <v>41.8</v>
      </c>
      <c r="O1079" s="9">
        <f t="shared" si="203"/>
        <v>78.63</v>
      </c>
    </row>
    <row r="1080" spans="1:15" x14ac:dyDescent="0.2">
      <c r="A1080" s="1" t="s">
        <v>2139</v>
      </c>
      <c r="B1080" s="2">
        <v>41.18</v>
      </c>
      <c r="C1080" s="2">
        <v>78.900000000000006</v>
      </c>
      <c r="D1080" s="2" t="s">
        <v>2140</v>
      </c>
      <c r="H1080" s="2" t="s">
        <v>3606</v>
      </c>
      <c r="J1080" s="7" t="str">
        <f t="shared" si="194"/>
        <v>Dubois</v>
      </c>
      <c r="K1080" s="7" t="str">
        <f t="shared" si="195"/>
        <v xml:space="preserve">PA  </v>
      </c>
      <c r="L1080" s="7" t="str">
        <f t="shared" si="200"/>
        <v xml:space="preserve">PA </v>
      </c>
      <c r="M1080" s="7" t="str">
        <f t="shared" si="201"/>
        <v xml:space="preserve">PA </v>
      </c>
      <c r="N1080" s="9">
        <f t="shared" si="202"/>
        <v>41.18</v>
      </c>
      <c r="O1080" s="9">
        <f t="shared" si="203"/>
        <v>78.900000000000006</v>
      </c>
    </row>
    <row r="1081" spans="1:15" x14ac:dyDescent="0.2">
      <c r="A1081" s="1" t="s">
        <v>2141</v>
      </c>
      <c r="B1081" s="2">
        <v>42.08</v>
      </c>
      <c r="C1081" s="2">
        <v>80.180000000000007</v>
      </c>
      <c r="D1081" s="2" t="s">
        <v>2142</v>
      </c>
      <c r="H1081" s="2" t="s">
        <v>3607</v>
      </c>
      <c r="J1081" s="7" t="str">
        <f t="shared" si="194"/>
        <v>Erie</v>
      </c>
      <c r="K1081" s="7" t="str">
        <f t="shared" si="195"/>
        <v xml:space="preserve">PA  </v>
      </c>
      <c r="L1081" s="7" t="str">
        <f t="shared" si="200"/>
        <v xml:space="preserve">PA </v>
      </c>
      <c r="M1081" s="7" t="str">
        <f t="shared" si="201"/>
        <v xml:space="preserve">PA </v>
      </c>
      <c r="N1081" s="9">
        <f t="shared" si="202"/>
        <v>42.08</v>
      </c>
      <c r="O1081" s="9">
        <f t="shared" si="203"/>
        <v>80.180000000000007</v>
      </c>
    </row>
    <row r="1082" spans="1:15" x14ac:dyDescent="0.2">
      <c r="A1082" s="1" t="s">
        <v>2143</v>
      </c>
      <c r="B1082" s="2">
        <v>41.38</v>
      </c>
      <c r="C1082" s="2">
        <v>79.87</v>
      </c>
      <c r="D1082" s="2" t="s">
        <v>2144</v>
      </c>
      <c r="H1082" s="2" t="s">
        <v>3608</v>
      </c>
      <c r="J1082" s="7" t="str">
        <f t="shared" si="194"/>
        <v>Franklin</v>
      </c>
      <c r="K1082" s="7" t="str">
        <f t="shared" si="195"/>
        <v xml:space="preserve">PA  </v>
      </c>
      <c r="L1082" s="7" t="str">
        <f t="shared" si="200"/>
        <v xml:space="preserve">PA </v>
      </c>
      <c r="M1082" s="7" t="str">
        <f t="shared" si="201"/>
        <v xml:space="preserve">PA </v>
      </c>
      <c r="N1082" s="9">
        <f t="shared" si="202"/>
        <v>41.38</v>
      </c>
      <c r="O1082" s="9">
        <f t="shared" si="203"/>
        <v>79.87</v>
      </c>
    </row>
    <row r="1083" spans="1:15" x14ac:dyDescent="0.2">
      <c r="A1083" s="1" t="s">
        <v>2145</v>
      </c>
      <c r="B1083" s="2">
        <v>40.22</v>
      </c>
      <c r="C1083" s="2">
        <v>76.849999999999994</v>
      </c>
      <c r="D1083" s="2" t="s">
        <v>2146</v>
      </c>
      <c r="H1083" s="2" t="s">
        <v>3609</v>
      </c>
      <c r="J1083" s="7" t="str">
        <f t="shared" si="194"/>
        <v>Harrisburg</v>
      </c>
      <c r="K1083" s="7" t="str">
        <f t="shared" si="195"/>
        <v xml:space="preserve">PA  </v>
      </c>
      <c r="L1083" s="7" t="str">
        <f t="shared" si="200"/>
        <v xml:space="preserve">PA </v>
      </c>
      <c r="M1083" s="7" t="str">
        <f t="shared" si="201"/>
        <v xml:space="preserve">PA </v>
      </c>
      <c r="N1083" s="9">
        <f t="shared" si="202"/>
        <v>40.22</v>
      </c>
      <c r="O1083" s="9">
        <f t="shared" si="203"/>
        <v>76.849999999999994</v>
      </c>
    </row>
    <row r="1084" spans="1:15" x14ac:dyDescent="0.2">
      <c r="A1084" s="1" t="s">
        <v>2147</v>
      </c>
      <c r="B1084" s="2">
        <v>40.369999999999997</v>
      </c>
      <c r="C1084" s="2">
        <v>77.42</v>
      </c>
      <c r="D1084" s="2" t="s">
        <v>2146</v>
      </c>
      <c r="H1084" s="2" t="s">
        <v>3609</v>
      </c>
      <c r="J1084" s="7" t="str">
        <f t="shared" si="194"/>
        <v>Harrisburg</v>
      </c>
      <c r="K1084" s="7" t="str">
        <f t="shared" si="195"/>
        <v xml:space="preserve">PA  </v>
      </c>
      <c r="L1084" s="7" t="str">
        <f t="shared" si="200"/>
        <v xml:space="preserve">PA </v>
      </c>
      <c r="M1084" s="7" t="str">
        <f t="shared" si="201"/>
        <v xml:space="preserve">PA </v>
      </c>
      <c r="N1084" s="9">
        <f t="shared" si="202"/>
        <v>40.369999999999997</v>
      </c>
      <c r="O1084" s="9">
        <f t="shared" si="203"/>
        <v>77.42</v>
      </c>
    </row>
    <row r="1085" spans="1:15" x14ac:dyDescent="0.2">
      <c r="A1085" s="1" t="s">
        <v>2148</v>
      </c>
      <c r="B1085" s="2">
        <v>40.32</v>
      </c>
      <c r="C1085" s="2">
        <v>78.83</v>
      </c>
      <c r="D1085" s="2" t="s">
        <v>2149</v>
      </c>
      <c r="H1085" s="2" t="s">
        <v>3610</v>
      </c>
      <c r="J1085" s="7" t="str">
        <f t="shared" si="194"/>
        <v>Johnstown</v>
      </c>
      <c r="K1085" s="7" t="str">
        <f t="shared" si="195"/>
        <v xml:space="preserve">PA  </v>
      </c>
      <c r="L1085" s="7" t="str">
        <f t="shared" si="200"/>
        <v xml:space="preserve">PA </v>
      </c>
      <c r="M1085" s="7" t="str">
        <f t="shared" si="201"/>
        <v xml:space="preserve">PA </v>
      </c>
      <c r="N1085" s="9">
        <f t="shared" si="202"/>
        <v>40.32</v>
      </c>
      <c r="O1085" s="9">
        <f t="shared" si="203"/>
        <v>78.83</v>
      </c>
    </row>
    <row r="1086" spans="1:15" x14ac:dyDescent="0.2">
      <c r="A1086" s="1" t="s">
        <v>2150</v>
      </c>
      <c r="B1086" s="2">
        <v>40.130000000000003</v>
      </c>
      <c r="C1086" s="2">
        <v>76.3</v>
      </c>
      <c r="D1086" s="2" t="s">
        <v>2151</v>
      </c>
      <c r="H1086" s="2" t="s">
        <v>3611</v>
      </c>
      <c r="J1086" s="7" t="str">
        <f t="shared" si="194"/>
        <v>Lancaster</v>
      </c>
      <c r="K1086" s="7" t="str">
        <f t="shared" si="195"/>
        <v xml:space="preserve">PA  </v>
      </c>
      <c r="L1086" s="7" t="str">
        <f t="shared" si="200"/>
        <v xml:space="preserve">PA </v>
      </c>
      <c r="M1086" s="7" t="str">
        <f t="shared" si="201"/>
        <v xml:space="preserve">PA </v>
      </c>
      <c r="N1086" s="9">
        <f t="shared" si="202"/>
        <v>40.130000000000003</v>
      </c>
      <c r="O1086" s="9">
        <f t="shared" si="203"/>
        <v>76.3</v>
      </c>
    </row>
    <row r="1087" spans="1:15" x14ac:dyDescent="0.2">
      <c r="A1087" s="1" t="s">
        <v>2152</v>
      </c>
      <c r="B1087" s="2">
        <v>40.28</v>
      </c>
      <c r="C1087" s="2">
        <v>79.400000000000006</v>
      </c>
      <c r="D1087" s="2" t="s">
        <v>2153</v>
      </c>
      <c r="H1087" s="2" t="s">
        <v>3612</v>
      </c>
      <c r="J1087" s="7" t="str">
        <f t="shared" si="194"/>
        <v>Latrobe</v>
      </c>
      <c r="K1087" s="7" t="str">
        <f t="shared" si="195"/>
        <v xml:space="preserve">PA  </v>
      </c>
      <c r="L1087" s="7" t="str">
        <f t="shared" si="200"/>
        <v xml:space="preserve">PA </v>
      </c>
      <c r="M1087" s="7" t="str">
        <f t="shared" si="201"/>
        <v xml:space="preserve">PA </v>
      </c>
      <c r="N1087" s="9">
        <f t="shared" si="202"/>
        <v>40.28</v>
      </c>
      <c r="O1087" s="9">
        <f t="shared" si="203"/>
        <v>79.400000000000006</v>
      </c>
    </row>
    <row r="1088" spans="1:15" x14ac:dyDescent="0.2">
      <c r="A1088" s="1" t="s">
        <v>2154</v>
      </c>
      <c r="B1088" s="2">
        <v>40.200000000000003</v>
      </c>
      <c r="C1088" s="2">
        <v>76.77</v>
      </c>
      <c r="D1088" s="2" t="s">
        <v>2155</v>
      </c>
      <c r="H1088" s="2" t="s">
        <v>3613</v>
      </c>
      <c r="J1088" s="7" t="str">
        <f t="shared" si="194"/>
        <v>Middletown</v>
      </c>
      <c r="K1088" s="7" t="str">
        <f t="shared" si="195"/>
        <v xml:space="preserve">PA  </v>
      </c>
      <c r="L1088" s="7" t="str">
        <f t="shared" si="200"/>
        <v xml:space="preserve">PA </v>
      </c>
      <c r="M1088" s="7" t="str">
        <f t="shared" si="201"/>
        <v xml:space="preserve">PA </v>
      </c>
      <c r="N1088" s="9">
        <f t="shared" si="202"/>
        <v>40.200000000000003</v>
      </c>
      <c r="O1088" s="9">
        <f t="shared" si="203"/>
        <v>76.77</v>
      </c>
    </row>
    <row r="1089" spans="1:15" x14ac:dyDescent="0.2">
      <c r="A1089" s="1" t="s">
        <v>2156</v>
      </c>
      <c r="B1089" s="2">
        <v>40.43</v>
      </c>
      <c r="C1089" s="2">
        <v>76.569999999999993</v>
      </c>
      <c r="D1089" s="2" t="s">
        <v>2157</v>
      </c>
      <c r="H1089" s="2" t="s">
        <v>3614</v>
      </c>
      <c r="J1089" s="7" t="str">
        <f t="shared" si="194"/>
        <v>Muir</v>
      </c>
      <c r="K1089" s="7" t="str">
        <f t="shared" si="195"/>
        <v xml:space="preserve">PA  </v>
      </c>
      <c r="L1089" s="7" t="str">
        <f t="shared" si="200"/>
        <v xml:space="preserve">PA </v>
      </c>
      <c r="M1089" s="7" t="str">
        <f t="shared" si="201"/>
        <v xml:space="preserve">PA </v>
      </c>
      <c r="N1089" s="9">
        <f t="shared" si="202"/>
        <v>40.43</v>
      </c>
      <c r="O1089" s="9">
        <f t="shared" si="203"/>
        <v>76.569999999999993</v>
      </c>
    </row>
    <row r="1090" spans="1:15" x14ac:dyDescent="0.2">
      <c r="A1090" s="1" t="s">
        <v>2158</v>
      </c>
      <c r="B1090" s="2">
        <v>40.08</v>
      </c>
      <c r="C1090" s="2">
        <v>75.02</v>
      </c>
      <c r="D1090" s="2" t="s">
        <v>2159</v>
      </c>
      <c r="E1090" s="2" t="s">
        <v>2160</v>
      </c>
      <c r="H1090" s="2" t="s">
        <v>3615</v>
      </c>
      <c r="J1090" s="7" t="str">
        <f t="shared" si="194"/>
        <v>Nth Philade</v>
      </c>
      <c r="K1090" s="7" t="str">
        <f t="shared" si="195"/>
        <v xml:space="preserve">,PA </v>
      </c>
      <c r="L1090" s="7" t="str">
        <f t="shared" si="200"/>
        <v>,PA</v>
      </c>
      <c r="M1090" s="7" t="str">
        <f t="shared" si="201"/>
        <v>PA</v>
      </c>
      <c r="N1090" s="9">
        <f t="shared" si="202"/>
        <v>40.08</v>
      </c>
      <c r="O1090" s="9">
        <f t="shared" si="203"/>
        <v>75.02</v>
      </c>
    </row>
    <row r="1091" spans="1:15" x14ac:dyDescent="0.2">
      <c r="A1091" s="1" t="s">
        <v>2161</v>
      </c>
      <c r="B1091" s="2">
        <v>39.880000000000003</v>
      </c>
      <c r="C1091" s="2">
        <v>75.25</v>
      </c>
      <c r="D1091" s="2" t="s">
        <v>2162</v>
      </c>
      <c r="H1091" s="2" t="s">
        <v>3616</v>
      </c>
      <c r="J1091" s="7" t="str">
        <f t="shared" si="194"/>
        <v>Philadelphia</v>
      </c>
      <c r="K1091" s="7" t="str">
        <f t="shared" si="195"/>
        <v xml:space="preserve">PA  </v>
      </c>
      <c r="L1091" s="7" t="str">
        <f t="shared" si="200"/>
        <v xml:space="preserve">PA </v>
      </c>
      <c r="M1091" s="7" t="str">
        <f t="shared" si="201"/>
        <v xml:space="preserve">PA </v>
      </c>
      <c r="N1091" s="9">
        <f t="shared" si="202"/>
        <v>39.880000000000003</v>
      </c>
      <c r="O1091" s="9">
        <f t="shared" si="203"/>
        <v>75.25</v>
      </c>
    </row>
    <row r="1092" spans="1:15" x14ac:dyDescent="0.2">
      <c r="A1092" s="1" t="s">
        <v>2163</v>
      </c>
      <c r="B1092" s="2">
        <v>41.47</v>
      </c>
      <c r="C1092" s="2">
        <v>78.13</v>
      </c>
      <c r="D1092" s="2" t="s">
        <v>2164</v>
      </c>
      <c r="H1092" s="2" t="s">
        <v>3617</v>
      </c>
      <c r="J1092" s="7" t="str">
        <f t="shared" si="194"/>
        <v>Philipsburg</v>
      </c>
      <c r="K1092" s="7" t="str">
        <f t="shared" si="195"/>
        <v xml:space="preserve">PA  </v>
      </c>
      <c r="L1092" s="7" t="str">
        <f t="shared" si="200"/>
        <v xml:space="preserve">PA </v>
      </c>
      <c r="M1092" s="7" t="str">
        <f t="shared" si="201"/>
        <v xml:space="preserve">PA </v>
      </c>
      <c r="N1092" s="9">
        <f t="shared" si="202"/>
        <v>41.47</v>
      </c>
      <c r="O1092" s="9">
        <f t="shared" si="203"/>
        <v>78.13</v>
      </c>
    </row>
    <row r="1093" spans="1:15" x14ac:dyDescent="0.2">
      <c r="A1093" s="1" t="s">
        <v>2165</v>
      </c>
      <c r="B1093" s="2">
        <v>40.35</v>
      </c>
      <c r="C1093" s="2">
        <v>79.930000000000007</v>
      </c>
      <c r="D1093" s="2" t="s">
        <v>2166</v>
      </c>
      <c r="H1093" s="2" t="s">
        <v>3618</v>
      </c>
      <c r="J1093" s="7" t="str">
        <f t="shared" si="194"/>
        <v>Pittsburgh</v>
      </c>
      <c r="K1093" s="7" t="str">
        <f t="shared" si="195"/>
        <v xml:space="preserve">PA  </v>
      </c>
      <c r="L1093" s="7" t="str">
        <f t="shared" si="200"/>
        <v xml:space="preserve">PA </v>
      </c>
      <c r="M1093" s="7" t="str">
        <f t="shared" si="201"/>
        <v xml:space="preserve">PA </v>
      </c>
      <c r="N1093" s="9">
        <f t="shared" si="202"/>
        <v>40.35</v>
      </c>
      <c r="O1093" s="9">
        <f t="shared" si="203"/>
        <v>79.930000000000007</v>
      </c>
    </row>
    <row r="1094" spans="1:15" x14ac:dyDescent="0.2">
      <c r="A1094" s="1" t="s">
        <v>2167</v>
      </c>
      <c r="B1094" s="2">
        <v>40.5</v>
      </c>
      <c r="C1094" s="2">
        <v>80.22</v>
      </c>
      <c r="D1094" s="2" t="s">
        <v>2166</v>
      </c>
      <c r="H1094" s="2" t="s">
        <v>3618</v>
      </c>
      <c r="J1094" s="7" t="str">
        <f t="shared" si="194"/>
        <v>Pittsburgh</v>
      </c>
      <c r="K1094" s="7" t="str">
        <f t="shared" si="195"/>
        <v xml:space="preserve">PA  </v>
      </c>
      <c r="L1094" s="7" t="str">
        <f t="shared" si="200"/>
        <v xml:space="preserve">PA </v>
      </c>
      <c r="M1094" s="7" t="str">
        <f t="shared" si="201"/>
        <v xml:space="preserve">PA </v>
      </c>
      <c r="N1094" s="9">
        <f t="shared" si="202"/>
        <v>40.5</v>
      </c>
      <c r="O1094" s="9">
        <f t="shared" si="203"/>
        <v>80.22</v>
      </c>
    </row>
    <row r="1095" spans="1:15" x14ac:dyDescent="0.2">
      <c r="A1095" s="1" t="s">
        <v>2168</v>
      </c>
      <c r="B1095" s="2">
        <v>40.380000000000003</v>
      </c>
      <c r="C1095" s="2">
        <v>75.97</v>
      </c>
      <c r="D1095" s="2" t="s">
        <v>2169</v>
      </c>
      <c r="H1095" s="2" t="s">
        <v>3619</v>
      </c>
      <c r="J1095" s="7" t="str">
        <f t="shared" si="194"/>
        <v>Reading</v>
      </c>
      <c r="K1095" s="7" t="str">
        <f t="shared" si="195"/>
        <v xml:space="preserve">PA  </v>
      </c>
      <c r="L1095" s="7" t="str">
        <f t="shared" si="200"/>
        <v xml:space="preserve">PA </v>
      </c>
      <c r="M1095" s="7" t="str">
        <f t="shared" si="201"/>
        <v xml:space="preserve">PA </v>
      </c>
      <c r="N1095" s="9">
        <f t="shared" si="202"/>
        <v>40.380000000000003</v>
      </c>
      <c r="O1095" s="9">
        <f t="shared" si="203"/>
        <v>75.97</v>
      </c>
    </row>
    <row r="1096" spans="1:15" x14ac:dyDescent="0.2">
      <c r="A1096" s="1" t="s">
        <v>2170</v>
      </c>
      <c r="B1096" s="2">
        <v>39.729999999999997</v>
      </c>
      <c r="C1096" s="2">
        <v>77.430000000000007</v>
      </c>
      <c r="D1096" s="2" t="s">
        <v>2171</v>
      </c>
      <c r="E1096" s="2" t="s">
        <v>2172</v>
      </c>
      <c r="H1096" s="2" t="s">
        <v>3620</v>
      </c>
      <c r="J1096" s="7" t="str">
        <f t="shared" si="194"/>
        <v xml:space="preserve">Site </v>
      </c>
      <c r="K1096" s="7" t="str">
        <f t="shared" si="195"/>
        <v xml:space="preserve">,PA </v>
      </c>
      <c r="L1096" s="7" t="str">
        <f t="shared" si="200"/>
        <v>,PA</v>
      </c>
      <c r="M1096" s="7" t="str">
        <f t="shared" si="201"/>
        <v>PA</v>
      </c>
      <c r="N1096" s="9">
        <f t="shared" si="202"/>
        <v>39.729999999999997</v>
      </c>
      <c r="O1096" s="9">
        <f t="shared" si="203"/>
        <v>77.430000000000007</v>
      </c>
    </row>
    <row r="1097" spans="1:15" x14ac:dyDescent="0.2">
      <c r="A1097" s="1" t="s">
        <v>2173</v>
      </c>
      <c r="B1097" s="2">
        <v>40.85</v>
      </c>
      <c r="C1097" s="2">
        <v>77.83</v>
      </c>
      <c r="D1097" s="2" t="s">
        <v>2174</v>
      </c>
      <c r="E1097" s="2" t="s">
        <v>2175</v>
      </c>
      <c r="H1097" s="2" t="s">
        <v>3621</v>
      </c>
      <c r="J1097" s="7" t="str">
        <f t="shared" si="194"/>
        <v>State Colle</v>
      </c>
      <c r="K1097" s="7" t="str">
        <f t="shared" si="195"/>
        <v xml:space="preserve">,PA </v>
      </c>
      <c r="L1097" s="7" t="str">
        <f t="shared" si="200"/>
        <v>,PA</v>
      </c>
      <c r="M1097" s="7" t="str">
        <f t="shared" si="201"/>
        <v>PA</v>
      </c>
      <c r="N1097" s="9">
        <f t="shared" si="202"/>
        <v>40.85</v>
      </c>
      <c r="O1097" s="9">
        <f t="shared" si="203"/>
        <v>77.83</v>
      </c>
    </row>
    <row r="1098" spans="1:15" x14ac:dyDescent="0.2">
      <c r="A1098" s="1" t="s">
        <v>2176</v>
      </c>
      <c r="B1098" s="2">
        <v>41.33</v>
      </c>
      <c r="C1098" s="2">
        <v>75.73</v>
      </c>
      <c r="D1098" s="2" t="s">
        <v>2177</v>
      </c>
      <c r="H1098" s="2" t="s">
        <v>3622</v>
      </c>
      <c r="J1098" s="7" t="str">
        <f t="shared" si="194"/>
        <v>Wilkes-Barre</v>
      </c>
      <c r="K1098" s="7" t="str">
        <f t="shared" si="195"/>
        <v xml:space="preserve">PA  </v>
      </c>
      <c r="L1098" s="7" t="str">
        <f t="shared" si="200"/>
        <v xml:space="preserve">PA </v>
      </c>
      <c r="M1098" s="7" t="str">
        <f t="shared" si="201"/>
        <v xml:space="preserve">PA </v>
      </c>
      <c r="N1098" s="9">
        <f t="shared" si="202"/>
        <v>41.33</v>
      </c>
      <c r="O1098" s="9">
        <f t="shared" si="203"/>
        <v>75.73</v>
      </c>
    </row>
    <row r="1099" spans="1:15" x14ac:dyDescent="0.2">
      <c r="A1099" s="1" t="s">
        <v>2178</v>
      </c>
      <c r="B1099" s="2">
        <v>41.25</v>
      </c>
      <c r="C1099" s="2">
        <v>76.92</v>
      </c>
      <c r="D1099" s="2" t="s">
        <v>2179</v>
      </c>
      <c r="H1099" s="2" t="s">
        <v>3623</v>
      </c>
      <c r="J1099" s="7" t="str">
        <f t="shared" si="194"/>
        <v>Williamsport</v>
      </c>
      <c r="K1099" s="7" t="str">
        <f t="shared" si="195"/>
        <v xml:space="preserve">PA  </v>
      </c>
      <c r="L1099" s="7" t="str">
        <f t="shared" si="200"/>
        <v xml:space="preserve">PA </v>
      </c>
      <c r="M1099" s="7" t="str">
        <f t="shared" si="201"/>
        <v xml:space="preserve">PA </v>
      </c>
      <c r="N1099" s="9">
        <f t="shared" si="202"/>
        <v>41.25</v>
      </c>
      <c r="O1099" s="9">
        <f t="shared" si="203"/>
        <v>76.92</v>
      </c>
    </row>
    <row r="1100" spans="1:15" x14ac:dyDescent="0.2">
      <c r="A1100" s="1" t="s">
        <v>2180</v>
      </c>
      <c r="B1100" s="2">
        <v>40.200000000000003</v>
      </c>
      <c r="C1100" s="2">
        <v>75.150000000000006</v>
      </c>
      <c r="D1100" s="2" t="s">
        <v>328</v>
      </c>
      <c r="E1100" s="2" t="s">
        <v>2181</v>
      </c>
      <c r="H1100" s="2" t="s">
        <v>3624</v>
      </c>
      <c r="J1100" s="7" t="str">
        <f t="shared" si="194"/>
        <v>Willow Grov</v>
      </c>
      <c r="K1100" s="7" t="str">
        <f t="shared" si="195"/>
        <v xml:space="preserve">,PA </v>
      </c>
      <c r="L1100" s="7" t="str">
        <f t="shared" si="200"/>
        <v>,PA</v>
      </c>
      <c r="M1100" s="7" t="str">
        <f t="shared" si="201"/>
        <v>PA</v>
      </c>
      <c r="N1100" s="9">
        <f t="shared" si="202"/>
        <v>40.200000000000003</v>
      </c>
      <c r="O1100" s="9">
        <f t="shared" si="203"/>
        <v>75.150000000000006</v>
      </c>
    </row>
    <row r="1101" spans="1:15" x14ac:dyDescent="0.2">
      <c r="A1101" s="4"/>
      <c r="H1101" s="2" t="s">
        <v>2726</v>
      </c>
      <c r="J1101" s="7"/>
      <c r="K1101" s="7"/>
      <c r="L1101" s="7"/>
      <c r="M1101" s="7"/>
      <c r="N1101" s="9"/>
      <c r="O1101" s="9"/>
    </row>
    <row r="1102" spans="1:15" x14ac:dyDescent="0.2">
      <c r="A1102" s="1" t="s">
        <v>52</v>
      </c>
      <c r="B1102" s="2" t="s">
        <v>53</v>
      </c>
      <c r="H1102" s="2" t="s">
        <v>2726</v>
      </c>
      <c r="J1102" s="7"/>
      <c r="K1102" s="7"/>
      <c r="L1102" s="7"/>
      <c r="M1102" s="7"/>
      <c r="N1102" s="9"/>
      <c r="O1102" s="9"/>
    </row>
    <row r="1103" spans="1:15" x14ac:dyDescent="0.2">
      <c r="A1103" s="4"/>
      <c r="H1103" s="2" t="s">
        <v>2726</v>
      </c>
      <c r="J1103" s="7"/>
      <c r="K1103" s="7"/>
      <c r="L1103" s="7"/>
      <c r="M1103" s="7"/>
      <c r="N1103" s="9"/>
      <c r="O1103" s="9"/>
    </row>
    <row r="1104" spans="1:15" x14ac:dyDescent="0.2">
      <c r="A1104" s="1" t="s">
        <v>2182</v>
      </c>
      <c r="B1104" s="2">
        <v>41.17</v>
      </c>
      <c r="C1104" s="2">
        <v>71.58</v>
      </c>
      <c r="D1104" s="2" t="s">
        <v>2183</v>
      </c>
      <c r="E1104" s="2" t="s">
        <v>2184</v>
      </c>
      <c r="H1104" s="2" t="s">
        <v>3625</v>
      </c>
      <c r="J1104" s="7" t="str">
        <f t="shared" si="194"/>
        <v>Block Islan</v>
      </c>
      <c r="K1104" s="7" t="str">
        <f t="shared" si="195"/>
        <v xml:space="preserve">,RI </v>
      </c>
      <c r="L1104" s="7" t="str">
        <f t="shared" ref="L1104:L1107" si="204">LEFT(K1104,LEN(K1104)-1)</f>
        <v>,RI</v>
      </c>
      <c r="M1104" s="7" t="str">
        <f t="shared" ref="M1104:M1107" si="205">SUBSTITUTE(L1104,",","")</f>
        <v>RI</v>
      </c>
      <c r="N1104" s="9">
        <f t="shared" ref="N1104:O1107" si="206">B1104</f>
        <v>41.17</v>
      </c>
      <c r="O1104" s="9">
        <f t="shared" si="206"/>
        <v>71.58</v>
      </c>
    </row>
    <row r="1105" spans="1:15" x14ac:dyDescent="0.2">
      <c r="A1105" s="1" t="s">
        <v>2185</v>
      </c>
      <c r="B1105" s="2">
        <v>41.6</v>
      </c>
      <c r="C1105" s="2">
        <v>71.42</v>
      </c>
      <c r="D1105" s="2" t="s">
        <v>2159</v>
      </c>
      <c r="E1105" s="2" t="s">
        <v>2186</v>
      </c>
      <c r="H1105" s="2" t="s">
        <v>3626</v>
      </c>
      <c r="J1105" s="7" t="str">
        <f t="shared" si="194"/>
        <v>Nth Kingsto</v>
      </c>
      <c r="K1105" s="7" t="str">
        <f t="shared" si="195"/>
        <v xml:space="preserve">,RI </v>
      </c>
      <c r="L1105" s="7" t="str">
        <f t="shared" si="204"/>
        <v>,RI</v>
      </c>
      <c r="M1105" s="7" t="str">
        <f t="shared" si="205"/>
        <v>RI</v>
      </c>
      <c r="N1105" s="9">
        <f t="shared" si="206"/>
        <v>41.6</v>
      </c>
      <c r="O1105" s="9">
        <f t="shared" si="206"/>
        <v>71.42</v>
      </c>
    </row>
    <row r="1106" spans="1:15" x14ac:dyDescent="0.2">
      <c r="A1106" s="1" t="s">
        <v>2187</v>
      </c>
      <c r="B1106" s="2">
        <v>41.73</v>
      </c>
      <c r="C1106" s="2">
        <v>71.430000000000007</v>
      </c>
      <c r="D1106" s="2" t="s">
        <v>2188</v>
      </c>
      <c r="H1106" s="2" t="s">
        <v>3627</v>
      </c>
      <c r="J1106" s="7" t="str">
        <f t="shared" si="194"/>
        <v>Providence</v>
      </c>
      <c r="K1106" s="7" t="str">
        <f t="shared" si="195"/>
        <v xml:space="preserve">RI  </v>
      </c>
      <c r="L1106" s="7" t="str">
        <f t="shared" si="204"/>
        <v xml:space="preserve">RI </v>
      </c>
      <c r="M1106" s="7" t="str">
        <f t="shared" si="205"/>
        <v xml:space="preserve">RI </v>
      </c>
      <c r="N1106" s="9">
        <f t="shared" si="206"/>
        <v>41.73</v>
      </c>
      <c r="O1106" s="9">
        <f t="shared" si="206"/>
        <v>71.430000000000007</v>
      </c>
    </row>
    <row r="1107" spans="1:15" x14ac:dyDescent="0.2">
      <c r="A1107" s="1" t="s">
        <v>2189</v>
      </c>
      <c r="B1107" s="2">
        <v>41.36</v>
      </c>
      <c r="C1107" s="2">
        <v>71.25</v>
      </c>
      <c r="D1107" s="2" t="s">
        <v>2190</v>
      </c>
      <c r="E1107" s="2" t="s">
        <v>280</v>
      </c>
      <c r="F1107" s="2" t="s">
        <v>2191</v>
      </c>
      <c r="H1107" s="2" t="s">
        <v>3628</v>
      </c>
      <c r="J1107" s="7" t="str">
        <f t="shared" si="194"/>
        <v>Quonset Pt N</v>
      </c>
      <c r="K1107" s="7" t="str">
        <f t="shared" si="195"/>
        <v>S,RI</v>
      </c>
      <c r="L1107" s="7" t="str">
        <f t="shared" si="204"/>
        <v>S,R</v>
      </c>
      <c r="M1107" s="7" t="str">
        <f t="shared" si="205"/>
        <v>SR</v>
      </c>
      <c r="N1107" s="9">
        <f t="shared" si="206"/>
        <v>41.36</v>
      </c>
      <c r="O1107" s="9">
        <f t="shared" si="206"/>
        <v>71.25</v>
      </c>
    </row>
    <row r="1108" spans="1:15" x14ac:dyDescent="0.2">
      <c r="A1108" s="4"/>
      <c r="H1108" s="2" t="s">
        <v>2726</v>
      </c>
      <c r="J1108" s="7"/>
      <c r="K1108" s="7"/>
      <c r="L1108" s="7"/>
      <c r="M1108" s="7"/>
      <c r="N1108" s="9"/>
      <c r="O1108" s="9"/>
    </row>
    <row r="1109" spans="1:15" x14ac:dyDescent="0.2">
      <c r="A1109" s="1" t="s">
        <v>54</v>
      </c>
      <c r="B1109" s="2" t="s">
        <v>50</v>
      </c>
      <c r="H1109" s="2" t="s">
        <v>2726</v>
      </c>
      <c r="J1109" s="7"/>
      <c r="K1109" s="7"/>
      <c r="L1109" s="7"/>
      <c r="M1109" s="7"/>
      <c r="N1109" s="9"/>
      <c r="O1109" s="9"/>
    </row>
    <row r="1110" spans="1:15" x14ac:dyDescent="0.2">
      <c r="A1110" s="4"/>
      <c r="H1110" s="2" t="s">
        <v>2726</v>
      </c>
      <c r="J1110" s="7"/>
      <c r="K1110" s="7"/>
      <c r="L1110" s="7"/>
      <c r="M1110" s="7"/>
      <c r="N1110" s="9"/>
      <c r="O1110" s="9"/>
    </row>
    <row r="1111" spans="1:15" x14ac:dyDescent="0.2">
      <c r="A1111" s="1" t="s">
        <v>2192</v>
      </c>
      <c r="B1111" s="2">
        <v>34.5</v>
      </c>
      <c r="C1111" s="2">
        <v>82.72</v>
      </c>
      <c r="D1111" s="2" t="s">
        <v>2193</v>
      </c>
      <c r="H1111" s="2" t="s">
        <v>3629</v>
      </c>
      <c r="J1111" s="7" t="str">
        <f t="shared" ref="J1111:J1173" si="207">LEFT(H1111,LEN(H1111)-5)</f>
        <v>Anderson</v>
      </c>
      <c r="K1111" s="7" t="str">
        <f t="shared" ref="K1111:K1173" si="208">RIGHT(H1111,4)</f>
        <v xml:space="preserve">SC  </v>
      </c>
      <c r="L1111" s="7" t="str">
        <f t="shared" ref="L1111:L1122" si="209">LEFT(K1111,LEN(K1111)-1)</f>
        <v xml:space="preserve">SC </v>
      </c>
      <c r="M1111" s="7" t="str">
        <f t="shared" ref="M1111:M1122" si="210">SUBSTITUTE(L1111,",","")</f>
        <v xml:space="preserve">SC </v>
      </c>
      <c r="N1111" s="9">
        <f t="shared" ref="N1111:N1122" si="211">B1111</f>
        <v>34.5</v>
      </c>
      <c r="O1111" s="9">
        <f t="shared" ref="O1111:O1122" si="212">C1111</f>
        <v>82.72</v>
      </c>
    </row>
    <row r="1112" spans="1:15" x14ac:dyDescent="0.2">
      <c r="A1112" s="1" t="s">
        <v>2194</v>
      </c>
      <c r="B1112" s="2">
        <v>32.479999999999997</v>
      </c>
      <c r="C1112" s="2">
        <v>80.72</v>
      </c>
      <c r="D1112" s="2" t="s">
        <v>2195</v>
      </c>
      <c r="E1112" s="2" t="s">
        <v>2196</v>
      </c>
      <c r="H1112" s="2" t="s">
        <v>3630</v>
      </c>
      <c r="J1112" s="7" t="str">
        <f t="shared" si="207"/>
        <v>Beaufort Mc</v>
      </c>
      <c r="K1112" s="7" t="str">
        <f t="shared" si="208"/>
        <v xml:space="preserve">,SC </v>
      </c>
      <c r="L1112" s="7" t="str">
        <f t="shared" si="209"/>
        <v>,SC</v>
      </c>
      <c r="M1112" s="7" t="str">
        <f t="shared" si="210"/>
        <v>SC</v>
      </c>
      <c r="N1112" s="9">
        <f t="shared" si="211"/>
        <v>32.479999999999997</v>
      </c>
      <c r="O1112" s="9">
        <f t="shared" si="212"/>
        <v>80.72</v>
      </c>
    </row>
    <row r="1113" spans="1:15" x14ac:dyDescent="0.2">
      <c r="A1113" s="1" t="s">
        <v>2197</v>
      </c>
      <c r="B1113" s="2">
        <v>32.9</v>
      </c>
      <c r="C1113" s="2">
        <v>80.03</v>
      </c>
      <c r="D1113" s="2" t="s">
        <v>2198</v>
      </c>
      <c r="H1113" s="2" t="s">
        <v>3631</v>
      </c>
      <c r="J1113" s="7" t="str">
        <f t="shared" si="207"/>
        <v>Charleston</v>
      </c>
      <c r="K1113" s="7" t="str">
        <f t="shared" si="208"/>
        <v xml:space="preserve">SC  </v>
      </c>
      <c r="L1113" s="7" t="str">
        <f t="shared" si="209"/>
        <v xml:space="preserve">SC </v>
      </c>
      <c r="M1113" s="7" t="str">
        <f t="shared" si="210"/>
        <v xml:space="preserve">SC </v>
      </c>
      <c r="N1113" s="9">
        <f t="shared" si="211"/>
        <v>32.9</v>
      </c>
      <c r="O1113" s="9">
        <f t="shared" si="212"/>
        <v>80.03</v>
      </c>
    </row>
    <row r="1114" spans="1:15" x14ac:dyDescent="0.2">
      <c r="A1114" s="1" t="s">
        <v>2199</v>
      </c>
      <c r="B1114" s="2">
        <v>33.950000000000003</v>
      </c>
      <c r="C1114" s="2">
        <v>81.12</v>
      </c>
      <c r="D1114" s="2" t="s">
        <v>2200</v>
      </c>
      <c r="H1114" s="2" t="s">
        <v>3632</v>
      </c>
      <c r="J1114" s="7" t="str">
        <f t="shared" si="207"/>
        <v>Columbia</v>
      </c>
      <c r="K1114" s="7" t="str">
        <f t="shared" si="208"/>
        <v xml:space="preserve">SC  </v>
      </c>
      <c r="L1114" s="7" t="str">
        <f t="shared" si="209"/>
        <v xml:space="preserve">SC </v>
      </c>
      <c r="M1114" s="7" t="str">
        <f t="shared" si="210"/>
        <v xml:space="preserve">SC </v>
      </c>
      <c r="N1114" s="9">
        <f t="shared" si="211"/>
        <v>33.950000000000003</v>
      </c>
      <c r="O1114" s="9">
        <f t="shared" si="212"/>
        <v>81.12</v>
      </c>
    </row>
    <row r="1115" spans="1:15" x14ac:dyDescent="0.2">
      <c r="A1115" s="1" t="s">
        <v>2201</v>
      </c>
      <c r="B1115" s="2">
        <v>34.18</v>
      </c>
      <c r="C1115" s="2">
        <v>79.72</v>
      </c>
      <c r="D1115" s="2" t="s">
        <v>2202</v>
      </c>
      <c r="H1115" s="2" t="s">
        <v>3633</v>
      </c>
      <c r="J1115" s="7" t="str">
        <f t="shared" si="207"/>
        <v>Florence</v>
      </c>
      <c r="K1115" s="7" t="str">
        <f t="shared" si="208"/>
        <v xml:space="preserve">SC  </v>
      </c>
      <c r="L1115" s="7" t="str">
        <f t="shared" si="209"/>
        <v xml:space="preserve">SC </v>
      </c>
      <c r="M1115" s="7" t="str">
        <f t="shared" si="210"/>
        <v xml:space="preserve">SC </v>
      </c>
      <c r="N1115" s="9">
        <f t="shared" si="211"/>
        <v>34.18</v>
      </c>
      <c r="O1115" s="9">
        <f t="shared" si="212"/>
        <v>79.72</v>
      </c>
    </row>
    <row r="1116" spans="1:15" x14ac:dyDescent="0.2">
      <c r="A1116" s="1" t="s">
        <v>2203</v>
      </c>
      <c r="B1116" s="2">
        <v>34.85</v>
      </c>
      <c r="C1116" s="2">
        <v>82.35</v>
      </c>
      <c r="D1116" s="2" t="s">
        <v>2204</v>
      </c>
      <c r="H1116" s="2" t="s">
        <v>3634</v>
      </c>
      <c r="J1116" s="7" t="str">
        <f t="shared" si="207"/>
        <v>Greenville</v>
      </c>
      <c r="K1116" s="7" t="str">
        <f t="shared" si="208"/>
        <v xml:space="preserve">SC  </v>
      </c>
      <c r="L1116" s="7" t="str">
        <f t="shared" si="209"/>
        <v xml:space="preserve">SC </v>
      </c>
      <c r="M1116" s="7" t="str">
        <f t="shared" si="210"/>
        <v xml:space="preserve">SC </v>
      </c>
      <c r="N1116" s="9">
        <f t="shared" si="211"/>
        <v>34.85</v>
      </c>
      <c r="O1116" s="9">
        <f t="shared" si="212"/>
        <v>82.35</v>
      </c>
    </row>
    <row r="1117" spans="1:15" x14ac:dyDescent="0.2">
      <c r="A1117" s="1" t="s">
        <v>2205</v>
      </c>
      <c r="B1117" s="2">
        <v>34.9</v>
      </c>
      <c r="C1117" s="2">
        <v>82.22</v>
      </c>
      <c r="D1117" s="2" t="s">
        <v>2204</v>
      </c>
      <c r="H1117" s="2" t="s">
        <v>3634</v>
      </c>
      <c r="J1117" s="7" t="str">
        <f t="shared" si="207"/>
        <v>Greenville</v>
      </c>
      <c r="K1117" s="7" t="str">
        <f t="shared" si="208"/>
        <v xml:space="preserve">SC  </v>
      </c>
      <c r="L1117" s="7" t="str">
        <f t="shared" si="209"/>
        <v xml:space="preserve">SC </v>
      </c>
      <c r="M1117" s="7" t="str">
        <f t="shared" si="210"/>
        <v xml:space="preserve">SC </v>
      </c>
      <c r="N1117" s="9">
        <f t="shared" si="211"/>
        <v>34.9</v>
      </c>
      <c r="O1117" s="9">
        <f t="shared" si="212"/>
        <v>82.22</v>
      </c>
    </row>
    <row r="1118" spans="1:15" x14ac:dyDescent="0.2">
      <c r="A1118" s="1" t="s">
        <v>2206</v>
      </c>
      <c r="B1118" s="2">
        <v>33.92</v>
      </c>
      <c r="C1118" s="2">
        <v>80.8</v>
      </c>
      <c r="D1118" s="2" t="s">
        <v>2207</v>
      </c>
      <c r="H1118" s="2" t="s">
        <v>3635</v>
      </c>
      <c r="J1118" s="7" t="str">
        <f t="shared" si="207"/>
        <v>Mcentire</v>
      </c>
      <c r="K1118" s="7" t="str">
        <f t="shared" si="208"/>
        <v xml:space="preserve">SC  </v>
      </c>
      <c r="L1118" s="7" t="str">
        <f t="shared" si="209"/>
        <v xml:space="preserve">SC </v>
      </c>
      <c r="M1118" s="7" t="str">
        <f t="shared" si="210"/>
        <v xml:space="preserve">SC </v>
      </c>
      <c r="N1118" s="9">
        <f t="shared" si="211"/>
        <v>33.92</v>
      </c>
      <c r="O1118" s="9">
        <f t="shared" si="212"/>
        <v>80.8</v>
      </c>
    </row>
    <row r="1119" spans="1:15" x14ac:dyDescent="0.2">
      <c r="A1119" s="1" t="s">
        <v>2208</v>
      </c>
      <c r="B1119" s="2">
        <v>33.68</v>
      </c>
      <c r="C1119" s="2">
        <v>78.930000000000007</v>
      </c>
      <c r="D1119" s="2" t="s">
        <v>2209</v>
      </c>
      <c r="E1119" s="2" t="s">
        <v>2210</v>
      </c>
      <c r="H1119" s="2" t="s">
        <v>3636</v>
      </c>
      <c r="J1119" s="7" t="str">
        <f t="shared" si="207"/>
        <v>Myrtle Beac</v>
      </c>
      <c r="K1119" s="7" t="str">
        <f t="shared" si="208"/>
        <v xml:space="preserve">,SC </v>
      </c>
      <c r="L1119" s="7" t="str">
        <f t="shared" si="209"/>
        <v>,SC</v>
      </c>
      <c r="M1119" s="7" t="str">
        <f t="shared" si="210"/>
        <v>SC</v>
      </c>
      <c r="N1119" s="9">
        <f t="shared" si="211"/>
        <v>33.68</v>
      </c>
      <c r="O1119" s="9">
        <f t="shared" si="212"/>
        <v>78.930000000000007</v>
      </c>
    </row>
    <row r="1120" spans="1:15" x14ac:dyDescent="0.2">
      <c r="A1120" s="1" t="s">
        <v>2211</v>
      </c>
      <c r="B1120" s="2">
        <v>33.82</v>
      </c>
      <c r="C1120" s="2">
        <v>78.72</v>
      </c>
      <c r="D1120" s="2" t="s">
        <v>2159</v>
      </c>
      <c r="E1120" s="2" t="s">
        <v>2209</v>
      </c>
      <c r="F1120" s="2" t="s">
        <v>2212</v>
      </c>
      <c r="H1120" s="2" t="s">
        <v>3637</v>
      </c>
      <c r="J1120" s="7" t="str">
        <f t="shared" si="207"/>
        <v>Nth Myrtle</v>
      </c>
      <c r="K1120" s="7" t="str">
        <f t="shared" si="208"/>
        <v>B,SC</v>
      </c>
      <c r="L1120" s="7" t="str">
        <f t="shared" si="209"/>
        <v>B,S</v>
      </c>
      <c r="M1120" s="7" t="str">
        <f t="shared" si="210"/>
        <v>BS</v>
      </c>
      <c r="N1120" s="9">
        <f t="shared" si="211"/>
        <v>33.82</v>
      </c>
      <c r="O1120" s="9">
        <f t="shared" si="212"/>
        <v>78.72</v>
      </c>
    </row>
    <row r="1121" spans="1:15" x14ac:dyDescent="0.2">
      <c r="A1121" s="1" t="s">
        <v>2213</v>
      </c>
      <c r="B1121" s="2">
        <v>33.97</v>
      </c>
      <c r="C1121" s="2">
        <v>80.47</v>
      </c>
      <c r="D1121" s="2" t="s">
        <v>2214</v>
      </c>
      <c r="E1121" s="2" t="s">
        <v>2215</v>
      </c>
      <c r="H1121" s="2" t="s">
        <v>3638</v>
      </c>
      <c r="J1121" s="7" t="str">
        <f t="shared" si="207"/>
        <v>Shaw AF</v>
      </c>
      <c r="K1121" s="7" t="str">
        <f t="shared" si="208"/>
        <v xml:space="preserve">,SC </v>
      </c>
      <c r="L1121" s="7" t="str">
        <f t="shared" si="209"/>
        <v>,SC</v>
      </c>
      <c r="M1121" s="7" t="str">
        <f t="shared" si="210"/>
        <v>SC</v>
      </c>
      <c r="N1121" s="9">
        <f t="shared" si="211"/>
        <v>33.97</v>
      </c>
      <c r="O1121" s="9">
        <f t="shared" si="212"/>
        <v>80.47</v>
      </c>
    </row>
    <row r="1122" spans="1:15" x14ac:dyDescent="0.2">
      <c r="A1122" s="1" t="s">
        <v>2216</v>
      </c>
      <c r="B1122" s="2">
        <v>34.92</v>
      </c>
      <c r="C1122" s="2">
        <v>81.96</v>
      </c>
      <c r="D1122" s="2" t="s">
        <v>2217</v>
      </c>
      <c r="H1122" s="2" t="s">
        <v>3639</v>
      </c>
      <c r="J1122" s="7" t="str">
        <f t="shared" si="207"/>
        <v>Spartanburg</v>
      </c>
      <c r="K1122" s="7" t="str">
        <f t="shared" si="208"/>
        <v xml:space="preserve">SC  </v>
      </c>
      <c r="L1122" s="7" t="str">
        <f t="shared" si="209"/>
        <v xml:space="preserve">SC </v>
      </c>
      <c r="M1122" s="7" t="str">
        <f t="shared" si="210"/>
        <v xml:space="preserve">SC </v>
      </c>
      <c r="N1122" s="9">
        <f t="shared" si="211"/>
        <v>34.92</v>
      </c>
      <c r="O1122" s="9">
        <f t="shared" si="212"/>
        <v>81.96</v>
      </c>
    </row>
    <row r="1123" spans="1:15" x14ac:dyDescent="0.2">
      <c r="A1123" s="4"/>
      <c r="H1123" s="2" t="s">
        <v>2726</v>
      </c>
      <c r="J1123" s="7"/>
      <c r="K1123" s="7"/>
      <c r="L1123" s="7"/>
      <c r="M1123" s="7"/>
      <c r="N1123" s="9"/>
      <c r="O1123" s="9"/>
    </row>
    <row r="1124" spans="1:15" x14ac:dyDescent="0.2">
      <c r="A1124" s="1" t="s">
        <v>54</v>
      </c>
      <c r="B1124" s="2" t="s">
        <v>51</v>
      </c>
      <c r="H1124" s="2" t="s">
        <v>2726</v>
      </c>
      <c r="J1124" s="7"/>
      <c r="K1124" s="7"/>
      <c r="L1124" s="7"/>
      <c r="M1124" s="7"/>
      <c r="N1124" s="9"/>
      <c r="O1124" s="9"/>
    </row>
    <row r="1125" spans="1:15" x14ac:dyDescent="0.2">
      <c r="A1125" s="4"/>
      <c r="H1125" s="2" t="s">
        <v>2726</v>
      </c>
      <c r="J1125" s="7"/>
      <c r="K1125" s="7"/>
      <c r="L1125" s="7"/>
      <c r="M1125" s="7"/>
      <c r="N1125" s="9"/>
      <c r="O1125" s="9"/>
    </row>
    <row r="1126" spans="1:15" x14ac:dyDescent="0.2">
      <c r="A1126" s="1" t="s">
        <v>2218</v>
      </c>
      <c r="B1126" s="2">
        <v>45.45</v>
      </c>
      <c r="C1126" s="2">
        <v>98.43</v>
      </c>
      <c r="D1126" s="2" t="s">
        <v>2219</v>
      </c>
      <c r="H1126" s="2" t="s">
        <v>3640</v>
      </c>
      <c r="J1126" s="7" t="str">
        <f t="shared" si="207"/>
        <v>Aberdeen</v>
      </c>
      <c r="K1126" s="7" t="str">
        <f t="shared" si="208"/>
        <v xml:space="preserve">SD  </v>
      </c>
      <c r="L1126" s="7" t="str">
        <f t="shared" ref="L1126:L1143" si="213">LEFT(K1126,LEN(K1126)-1)</f>
        <v xml:space="preserve">SD </v>
      </c>
      <c r="M1126" s="7" t="str">
        <f t="shared" ref="M1126:M1143" si="214">SUBSTITUTE(L1126,",","")</f>
        <v xml:space="preserve">SD </v>
      </c>
      <c r="N1126" s="9">
        <f t="shared" ref="N1126:N1143" si="215">B1126</f>
        <v>45.45</v>
      </c>
      <c r="O1126" s="9">
        <f t="shared" ref="O1126:O1143" si="216">C1126</f>
        <v>98.43</v>
      </c>
    </row>
    <row r="1127" spans="1:15" x14ac:dyDescent="0.2">
      <c r="A1127" s="1" t="s">
        <v>2220</v>
      </c>
      <c r="B1127" s="2">
        <v>44.3</v>
      </c>
      <c r="C1127" s="2">
        <v>96.8</v>
      </c>
      <c r="D1127" s="2" t="s">
        <v>2221</v>
      </c>
      <c r="H1127" s="2" t="s">
        <v>3641</v>
      </c>
      <c r="J1127" s="7" t="str">
        <f t="shared" si="207"/>
        <v>Brookings</v>
      </c>
      <c r="K1127" s="7" t="str">
        <f t="shared" si="208"/>
        <v xml:space="preserve">SD  </v>
      </c>
      <c r="L1127" s="7" t="str">
        <f t="shared" si="213"/>
        <v xml:space="preserve">SD </v>
      </c>
      <c r="M1127" s="7" t="str">
        <f t="shared" si="214"/>
        <v xml:space="preserve">SD </v>
      </c>
      <c r="N1127" s="9">
        <f t="shared" si="215"/>
        <v>44.3</v>
      </c>
      <c r="O1127" s="9">
        <f t="shared" si="216"/>
        <v>96.8</v>
      </c>
    </row>
    <row r="1128" spans="1:15" x14ac:dyDescent="0.2">
      <c r="A1128" s="1" t="s">
        <v>2222</v>
      </c>
      <c r="B1128" s="2">
        <v>43.8</v>
      </c>
      <c r="C1128" s="2">
        <v>99.32</v>
      </c>
      <c r="D1128" s="2" t="s">
        <v>2223</v>
      </c>
      <c r="H1128" s="2" t="s">
        <v>3642</v>
      </c>
      <c r="J1128" s="7" t="str">
        <f t="shared" si="207"/>
        <v>Chamberlain</v>
      </c>
      <c r="K1128" s="7" t="str">
        <f t="shared" si="208"/>
        <v xml:space="preserve">SD  </v>
      </c>
      <c r="L1128" s="7" t="str">
        <f t="shared" si="213"/>
        <v xml:space="preserve">SD </v>
      </c>
      <c r="M1128" s="7" t="str">
        <f t="shared" si="214"/>
        <v xml:space="preserve">SD </v>
      </c>
      <c r="N1128" s="9">
        <f t="shared" si="215"/>
        <v>43.8</v>
      </c>
      <c r="O1128" s="9">
        <f t="shared" si="216"/>
        <v>99.32</v>
      </c>
    </row>
    <row r="1129" spans="1:15" x14ac:dyDescent="0.2">
      <c r="A1129" s="1" t="s">
        <v>2224</v>
      </c>
      <c r="B1129" s="2">
        <v>43.75</v>
      </c>
      <c r="C1129" s="2">
        <v>99.32</v>
      </c>
      <c r="D1129" s="2" t="s">
        <v>2223</v>
      </c>
      <c r="H1129" s="2" t="s">
        <v>3642</v>
      </c>
      <c r="J1129" s="7" t="str">
        <f t="shared" si="207"/>
        <v>Chamberlain</v>
      </c>
      <c r="K1129" s="7" t="str">
        <f t="shared" si="208"/>
        <v xml:space="preserve">SD  </v>
      </c>
      <c r="L1129" s="7" t="str">
        <f t="shared" si="213"/>
        <v xml:space="preserve">SD </v>
      </c>
      <c r="M1129" s="7" t="str">
        <f t="shared" si="214"/>
        <v xml:space="preserve">SD </v>
      </c>
      <c r="N1129" s="9">
        <f t="shared" si="215"/>
        <v>43.75</v>
      </c>
      <c r="O1129" s="9">
        <f t="shared" si="216"/>
        <v>99.32</v>
      </c>
    </row>
    <row r="1130" spans="1:15" x14ac:dyDescent="0.2">
      <c r="A1130" s="1" t="s">
        <v>2225</v>
      </c>
      <c r="B1130" s="2">
        <v>43.77</v>
      </c>
      <c r="C1130" s="2">
        <v>103.6</v>
      </c>
      <c r="D1130" s="2" t="s">
        <v>2226</v>
      </c>
      <c r="H1130" s="2" t="s">
        <v>3643</v>
      </c>
      <c r="J1130" s="7" t="str">
        <f t="shared" si="207"/>
        <v>Custer</v>
      </c>
      <c r="K1130" s="7" t="str">
        <f t="shared" si="208"/>
        <v xml:space="preserve">SD  </v>
      </c>
      <c r="L1130" s="7" t="str">
        <f t="shared" si="213"/>
        <v xml:space="preserve">SD </v>
      </c>
      <c r="M1130" s="7" t="str">
        <f t="shared" si="214"/>
        <v xml:space="preserve">SD </v>
      </c>
      <c r="N1130" s="9">
        <f t="shared" si="215"/>
        <v>43.77</v>
      </c>
      <c r="O1130" s="9">
        <f t="shared" si="216"/>
        <v>103.6</v>
      </c>
    </row>
    <row r="1131" spans="1:15" x14ac:dyDescent="0.2">
      <c r="A1131" s="1" t="s">
        <v>2227</v>
      </c>
      <c r="B1131" s="2">
        <v>44.15</v>
      </c>
      <c r="C1131" s="2">
        <v>103.1</v>
      </c>
      <c r="D1131" s="2" t="s">
        <v>2228</v>
      </c>
      <c r="E1131" s="2" t="s">
        <v>2229</v>
      </c>
      <c r="H1131" s="2" t="s">
        <v>3644</v>
      </c>
      <c r="J1131" s="7" t="str">
        <f t="shared" si="207"/>
        <v>Ellsworth A</v>
      </c>
      <c r="K1131" s="7" t="str">
        <f t="shared" si="208"/>
        <v xml:space="preserve">,SD </v>
      </c>
      <c r="L1131" s="7" t="str">
        <f t="shared" si="213"/>
        <v>,SD</v>
      </c>
      <c r="M1131" s="7" t="str">
        <f t="shared" si="214"/>
        <v>SD</v>
      </c>
      <c r="N1131" s="9">
        <f t="shared" si="215"/>
        <v>44.15</v>
      </c>
      <c r="O1131" s="9">
        <f t="shared" si="216"/>
        <v>103.1</v>
      </c>
    </row>
    <row r="1132" spans="1:15" x14ac:dyDescent="0.2">
      <c r="A1132" s="1" t="s">
        <v>2230</v>
      </c>
      <c r="B1132" s="2">
        <v>44.38</v>
      </c>
      <c r="C1132" s="2">
        <v>98.22</v>
      </c>
      <c r="D1132" s="2" t="s">
        <v>2231</v>
      </c>
      <c r="H1132" s="2" t="s">
        <v>3645</v>
      </c>
      <c r="J1132" s="7" t="str">
        <f t="shared" si="207"/>
        <v>Huron</v>
      </c>
      <c r="K1132" s="7" t="str">
        <f t="shared" si="208"/>
        <v xml:space="preserve">SD  </v>
      </c>
      <c r="L1132" s="7" t="str">
        <f t="shared" si="213"/>
        <v xml:space="preserve">SD </v>
      </c>
      <c r="M1132" s="7" t="str">
        <f t="shared" si="214"/>
        <v xml:space="preserve">SD </v>
      </c>
      <c r="N1132" s="9">
        <f t="shared" si="215"/>
        <v>44.38</v>
      </c>
      <c r="O1132" s="9">
        <f t="shared" si="216"/>
        <v>98.22</v>
      </c>
    </row>
    <row r="1133" spans="1:15" x14ac:dyDescent="0.2">
      <c r="A1133" s="1" t="s">
        <v>2232</v>
      </c>
      <c r="B1133" s="2">
        <v>45.93</v>
      </c>
      <c r="C1133" s="2">
        <v>102.17</v>
      </c>
      <c r="D1133" s="2" t="s">
        <v>2233</v>
      </c>
      <c r="H1133" s="2" t="s">
        <v>3646</v>
      </c>
      <c r="J1133" s="7" t="str">
        <f t="shared" si="207"/>
        <v>Lemmon</v>
      </c>
      <c r="K1133" s="7" t="str">
        <f t="shared" si="208"/>
        <v xml:space="preserve">SD  </v>
      </c>
      <c r="L1133" s="7" t="str">
        <f t="shared" si="213"/>
        <v xml:space="preserve">SD </v>
      </c>
      <c r="M1133" s="7" t="str">
        <f t="shared" si="214"/>
        <v xml:space="preserve">SD </v>
      </c>
      <c r="N1133" s="9">
        <f t="shared" si="215"/>
        <v>45.93</v>
      </c>
      <c r="O1133" s="9">
        <f t="shared" si="216"/>
        <v>102.17</v>
      </c>
    </row>
    <row r="1134" spans="1:15" x14ac:dyDescent="0.2">
      <c r="A1134" s="1" t="s">
        <v>2234</v>
      </c>
      <c r="B1134" s="2">
        <v>43.77</v>
      </c>
      <c r="C1134" s="2">
        <v>98.03</v>
      </c>
      <c r="D1134" s="2" t="s">
        <v>2235</v>
      </c>
      <c r="H1134" s="2" t="s">
        <v>3647</v>
      </c>
      <c r="J1134" s="7" t="str">
        <f t="shared" si="207"/>
        <v>Mitchell</v>
      </c>
      <c r="K1134" s="7" t="str">
        <f t="shared" si="208"/>
        <v xml:space="preserve">SD  </v>
      </c>
      <c r="L1134" s="7" t="str">
        <f t="shared" si="213"/>
        <v xml:space="preserve">SD </v>
      </c>
      <c r="M1134" s="7" t="str">
        <f t="shared" si="214"/>
        <v xml:space="preserve">SD </v>
      </c>
      <c r="N1134" s="9">
        <f t="shared" si="215"/>
        <v>43.77</v>
      </c>
      <c r="O1134" s="9">
        <f t="shared" si="216"/>
        <v>98.03</v>
      </c>
    </row>
    <row r="1135" spans="1:15" x14ac:dyDescent="0.2">
      <c r="A1135" s="1" t="s">
        <v>2236</v>
      </c>
      <c r="B1135" s="2">
        <v>45.53</v>
      </c>
      <c r="C1135" s="2">
        <v>100.43</v>
      </c>
      <c r="D1135" s="2" t="s">
        <v>2237</v>
      </c>
      <c r="H1135" s="2" t="s">
        <v>3648</v>
      </c>
      <c r="J1135" s="7" t="str">
        <f t="shared" si="207"/>
        <v>Mobridge</v>
      </c>
      <c r="K1135" s="7" t="str">
        <f t="shared" si="208"/>
        <v xml:space="preserve">SD  </v>
      </c>
      <c r="L1135" s="7" t="str">
        <f t="shared" si="213"/>
        <v xml:space="preserve">SD </v>
      </c>
      <c r="M1135" s="7" t="str">
        <f t="shared" si="214"/>
        <v xml:space="preserve">SD </v>
      </c>
      <c r="N1135" s="9">
        <f t="shared" si="215"/>
        <v>45.53</v>
      </c>
      <c r="O1135" s="9">
        <f t="shared" si="216"/>
        <v>100.43</v>
      </c>
    </row>
    <row r="1136" spans="1:15" x14ac:dyDescent="0.2">
      <c r="A1136" s="1" t="s">
        <v>2238</v>
      </c>
      <c r="B1136" s="2">
        <v>44.05</v>
      </c>
      <c r="C1136" s="2">
        <v>101.6</v>
      </c>
      <c r="D1136" s="2" t="s">
        <v>2239</v>
      </c>
      <c r="H1136" s="2" t="s">
        <v>3649</v>
      </c>
      <c r="J1136" s="7" t="str">
        <f t="shared" si="207"/>
        <v>Philip</v>
      </c>
      <c r="K1136" s="7" t="str">
        <f t="shared" si="208"/>
        <v xml:space="preserve">SD  </v>
      </c>
      <c r="L1136" s="7" t="str">
        <f t="shared" si="213"/>
        <v xml:space="preserve">SD </v>
      </c>
      <c r="M1136" s="7" t="str">
        <f t="shared" si="214"/>
        <v xml:space="preserve">SD </v>
      </c>
      <c r="N1136" s="9">
        <f t="shared" si="215"/>
        <v>44.05</v>
      </c>
      <c r="O1136" s="9">
        <f t="shared" si="216"/>
        <v>101.6</v>
      </c>
    </row>
    <row r="1137" spans="1:15" x14ac:dyDescent="0.2">
      <c r="A1137" s="1" t="s">
        <v>2240</v>
      </c>
      <c r="B1137" s="2">
        <v>44.05</v>
      </c>
      <c r="C1137" s="2">
        <v>101.6</v>
      </c>
      <c r="D1137" s="2" t="s">
        <v>2239</v>
      </c>
      <c r="H1137" s="2" t="s">
        <v>3649</v>
      </c>
      <c r="J1137" s="7" t="str">
        <f t="shared" si="207"/>
        <v>Philip</v>
      </c>
      <c r="K1137" s="7" t="str">
        <f t="shared" si="208"/>
        <v xml:space="preserve">SD  </v>
      </c>
      <c r="L1137" s="7" t="str">
        <f t="shared" si="213"/>
        <v xml:space="preserve">SD </v>
      </c>
      <c r="M1137" s="7" t="str">
        <f t="shared" si="214"/>
        <v xml:space="preserve">SD </v>
      </c>
      <c r="N1137" s="9">
        <f t="shared" si="215"/>
        <v>44.05</v>
      </c>
      <c r="O1137" s="9">
        <f t="shared" si="216"/>
        <v>101.6</v>
      </c>
    </row>
    <row r="1138" spans="1:15" x14ac:dyDescent="0.2">
      <c r="A1138" s="1" t="s">
        <v>2241</v>
      </c>
      <c r="B1138" s="2">
        <v>44.38</v>
      </c>
      <c r="C1138" s="2">
        <v>100.28</v>
      </c>
      <c r="D1138" s="2" t="s">
        <v>2242</v>
      </c>
      <c r="H1138" s="2" t="s">
        <v>3650</v>
      </c>
      <c r="J1138" s="7" t="str">
        <f t="shared" si="207"/>
        <v>Pierre</v>
      </c>
      <c r="K1138" s="7" t="str">
        <f t="shared" si="208"/>
        <v xml:space="preserve">SD  </v>
      </c>
      <c r="L1138" s="7" t="str">
        <f t="shared" si="213"/>
        <v xml:space="preserve">SD </v>
      </c>
      <c r="M1138" s="7" t="str">
        <f t="shared" si="214"/>
        <v xml:space="preserve">SD </v>
      </c>
      <c r="N1138" s="9">
        <f t="shared" si="215"/>
        <v>44.38</v>
      </c>
      <c r="O1138" s="9">
        <f t="shared" si="216"/>
        <v>100.28</v>
      </c>
    </row>
    <row r="1139" spans="1:15" x14ac:dyDescent="0.2">
      <c r="A1139" s="1" t="s">
        <v>2243</v>
      </c>
      <c r="B1139" s="2">
        <v>44.05</v>
      </c>
      <c r="C1139" s="2">
        <v>103.07</v>
      </c>
      <c r="D1139" s="2" t="s">
        <v>2244</v>
      </c>
      <c r="E1139" s="2" t="s">
        <v>2245</v>
      </c>
      <c r="H1139" s="2" t="s">
        <v>3651</v>
      </c>
      <c r="J1139" s="7" t="str">
        <f t="shared" si="207"/>
        <v>Rapid Cit</v>
      </c>
      <c r="K1139" s="7" t="str">
        <f t="shared" si="208"/>
        <v xml:space="preserve">,SD </v>
      </c>
      <c r="L1139" s="7" t="str">
        <f t="shared" si="213"/>
        <v>,SD</v>
      </c>
      <c r="M1139" s="7" t="str">
        <f t="shared" si="214"/>
        <v>SD</v>
      </c>
      <c r="N1139" s="9">
        <f t="shared" si="215"/>
        <v>44.05</v>
      </c>
      <c r="O1139" s="9">
        <f t="shared" si="216"/>
        <v>103.07</v>
      </c>
    </row>
    <row r="1140" spans="1:15" x14ac:dyDescent="0.2">
      <c r="A1140" s="1" t="s">
        <v>2246</v>
      </c>
      <c r="B1140" s="2">
        <v>45.16</v>
      </c>
      <c r="C1140" s="2">
        <v>103.32</v>
      </c>
      <c r="D1140" s="2" t="s">
        <v>2247</v>
      </c>
      <c r="H1140" s="2" t="s">
        <v>3652</v>
      </c>
      <c r="J1140" s="7" t="str">
        <f t="shared" si="207"/>
        <v>Redig</v>
      </c>
      <c r="K1140" s="7" t="str">
        <f t="shared" si="208"/>
        <v xml:space="preserve">SD  </v>
      </c>
      <c r="L1140" s="7" t="str">
        <f t="shared" si="213"/>
        <v xml:space="preserve">SD </v>
      </c>
      <c r="M1140" s="7" t="str">
        <f t="shared" si="214"/>
        <v xml:space="preserve">SD </v>
      </c>
      <c r="N1140" s="9">
        <f t="shared" si="215"/>
        <v>45.16</v>
      </c>
      <c r="O1140" s="9">
        <f t="shared" si="216"/>
        <v>103.32</v>
      </c>
    </row>
    <row r="1141" spans="1:15" x14ac:dyDescent="0.2">
      <c r="A1141" s="1" t="s">
        <v>2248</v>
      </c>
      <c r="B1141" s="2">
        <v>43.58</v>
      </c>
      <c r="C1141" s="2">
        <v>96.73</v>
      </c>
      <c r="D1141" s="2" t="s">
        <v>1132</v>
      </c>
      <c r="E1141" s="2" t="s">
        <v>2249</v>
      </c>
      <c r="H1141" s="2" t="s">
        <v>3653</v>
      </c>
      <c r="J1141" s="7" t="str">
        <f t="shared" si="207"/>
        <v>Sioux Fall</v>
      </c>
      <c r="K1141" s="7" t="str">
        <f t="shared" si="208"/>
        <v xml:space="preserve">,SD </v>
      </c>
      <c r="L1141" s="7" t="str">
        <f t="shared" si="213"/>
        <v>,SD</v>
      </c>
      <c r="M1141" s="7" t="str">
        <f t="shared" si="214"/>
        <v>SD</v>
      </c>
      <c r="N1141" s="9">
        <f t="shared" si="215"/>
        <v>43.58</v>
      </c>
      <c r="O1141" s="9">
        <f t="shared" si="216"/>
        <v>96.73</v>
      </c>
    </row>
    <row r="1142" spans="1:15" x14ac:dyDescent="0.2">
      <c r="A1142" s="1" t="s">
        <v>2250</v>
      </c>
      <c r="B1142" s="2">
        <v>44.92</v>
      </c>
      <c r="C1142" s="2">
        <v>97.15</v>
      </c>
      <c r="D1142" s="2" t="s">
        <v>2251</v>
      </c>
      <c r="H1142" s="2" t="s">
        <v>3654</v>
      </c>
      <c r="J1142" s="7" t="str">
        <f t="shared" si="207"/>
        <v>Watertown</v>
      </c>
      <c r="K1142" s="7" t="str">
        <f t="shared" si="208"/>
        <v xml:space="preserve">SD  </v>
      </c>
      <c r="L1142" s="7" t="str">
        <f t="shared" si="213"/>
        <v xml:space="preserve">SD </v>
      </c>
      <c r="M1142" s="7" t="str">
        <f t="shared" si="214"/>
        <v xml:space="preserve">SD </v>
      </c>
      <c r="N1142" s="9">
        <f t="shared" si="215"/>
        <v>44.92</v>
      </c>
      <c r="O1142" s="9">
        <f t="shared" si="216"/>
        <v>97.15</v>
      </c>
    </row>
    <row r="1143" spans="1:15" x14ac:dyDescent="0.2">
      <c r="A1143" s="1" t="s">
        <v>2252</v>
      </c>
      <c r="B1143" s="2">
        <v>42.92</v>
      </c>
      <c r="C1143" s="2">
        <v>97.38</v>
      </c>
      <c r="D1143" s="2" t="s">
        <v>2253</v>
      </c>
      <c r="H1143" s="2" t="s">
        <v>3655</v>
      </c>
      <c r="J1143" s="7" t="str">
        <f t="shared" si="207"/>
        <v>Yankton</v>
      </c>
      <c r="K1143" s="7" t="str">
        <f t="shared" si="208"/>
        <v xml:space="preserve">SD  </v>
      </c>
      <c r="L1143" s="7" t="str">
        <f t="shared" si="213"/>
        <v xml:space="preserve">SD </v>
      </c>
      <c r="M1143" s="7" t="str">
        <f t="shared" si="214"/>
        <v xml:space="preserve">SD </v>
      </c>
      <c r="N1143" s="9">
        <f t="shared" si="215"/>
        <v>42.92</v>
      </c>
      <c r="O1143" s="9">
        <f t="shared" si="216"/>
        <v>97.38</v>
      </c>
    </row>
    <row r="1144" spans="1:15" x14ac:dyDescent="0.2">
      <c r="A1144" s="4"/>
      <c r="H1144" s="2" t="s">
        <v>2726</v>
      </c>
      <c r="J1144" s="7"/>
      <c r="K1144" s="7"/>
      <c r="L1144" s="7"/>
      <c r="M1144" s="7"/>
      <c r="N1144" s="9"/>
      <c r="O1144" s="9"/>
    </row>
    <row r="1145" spans="1:15" x14ac:dyDescent="0.2">
      <c r="A1145" s="1" t="s">
        <v>33</v>
      </c>
      <c r="H1145" s="2" t="s">
        <v>2726</v>
      </c>
      <c r="J1145" s="7"/>
      <c r="K1145" s="7"/>
      <c r="L1145" s="7"/>
      <c r="M1145" s="7"/>
      <c r="N1145" s="9"/>
      <c r="O1145" s="9"/>
    </row>
    <row r="1146" spans="1:15" x14ac:dyDescent="0.2">
      <c r="A1146" s="4"/>
      <c r="H1146" s="2" t="s">
        <v>2726</v>
      </c>
      <c r="J1146" s="7"/>
      <c r="K1146" s="7"/>
      <c r="L1146" s="7"/>
      <c r="M1146" s="7"/>
      <c r="N1146" s="9"/>
      <c r="O1146" s="9"/>
    </row>
    <row r="1147" spans="1:15" x14ac:dyDescent="0.2">
      <c r="A1147" s="1" t="s">
        <v>2254</v>
      </c>
      <c r="B1147" s="2">
        <v>36.479999999999997</v>
      </c>
      <c r="C1147" s="2">
        <v>82.4</v>
      </c>
      <c r="D1147" s="2" t="s">
        <v>2255</v>
      </c>
      <c r="H1147" s="2" t="s">
        <v>3656</v>
      </c>
      <c r="J1147" s="7" t="str">
        <f t="shared" si="207"/>
        <v>Bristol</v>
      </c>
      <c r="K1147" s="7" t="str">
        <f t="shared" si="208"/>
        <v xml:space="preserve">TN  </v>
      </c>
      <c r="L1147" s="7" t="str">
        <f t="shared" ref="L1147:L1158" si="217">LEFT(K1147,LEN(K1147)-1)</f>
        <v xml:space="preserve">TN </v>
      </c>
      <c r="M1147" s="7" t="str">
        <f t="shared" ref="M1147:M1158" si="218">SUBSTITUTE(L1147,",","")</f>
        <v xml:space="preserve">TN </v>
      </c>
      <c r="N1147" s="9">
        <f t="shared" ref="N1147:N1158" si="219">B1147</f>
        <v>36.479999999999997</v>
      </c>
      <c r="O1147" s="9">
        <f t="shared" ref="O1147:O1158" si="220">C1147</f>
        <v>82.4</v>
      </c>
    </row>
    <row r="1148" spans="1:15" x14ac:dyDescent="0.2">
      <c r="A1148" s="1" t="s">
        <v>2256</v>
      </c>
      <c r="B1148" s="2">
        <v>35.03</v>
      </c>
      <c r="C1148" s="2">
        <v>85.2</v>
      </c>
      <c r="D1148" s="2" t="s">
        <v>2257</v>
      </c>
      <c r="H1148" s="2" t="s">
        <v>3657</v>
      </c>
      <c r="J1148" s="7" t="str">
        <f t="shared" si="207"/>
        <v>Chattanooga</v>
      </c>
      <c r="K1148" s="7" t="str">
        <f t="shared" si="208"/>
        <v xml:space="preserve">TN  </v>
      </c>
      <c r="L1148" s="7" t="str">
        <f t="shared" si="217"/>
        <v xml:space="preserve">TN </v>
      </c>
      <c r="M1148" s="7" t="str">
        <f t="shared" si="218"/>
        <v xml:space="preserve">TN </v>
      </c>
      <c r="N1148" s="9">
        <f t="shared" si="219"/>
        <v>35.03</v>
      </c>
      <c r="O1148" s="9">
        <f t="shared" si="220"/>
        <v>85.2</v>
      </c>
    </row>
    <row r="1149" spans="1:15" x14ac:dyDescent="0.2">
      <c r="A1149" s="1" t="s">
        <v>2258</v>
      </c>
      <c r="B1149" s="2">
        <v>36.619999999999997</v>
      </c>
      <c r="C1149" s="2">
        <v>87.42</v>
      </c>
      <c r="D1149" s="2" t="s">
        <v>2259</v>
      </c>
      <c r="H1149" s="2" t="s">
        <v>3658</v>
      </c>
      <c r="J1149" s="7" t="str">
        <f t="shared" si="207"/>
        <v>Clarksville</v>
      </c>
      <c r="K1149" s="7" t="str">
        <f t="shared" si="208"/>
        <v xml:space="preserve">TN  </v>
      </c>
      <c r="L1149" s="7" t="str">
        <f t="shared" si="217"/>
        <v xml:space="preserve">TN </v>
      </c>
      <c r="M1149" s="7" t="str">
        <f t="shared" si="218"/>
        <v xml:space="preserve">TN </v>
      </c>
      <c r="N1149" s="9">
        <f t="shared" si="219"/>
        <v>36.619999999999997</v>
      </c>
      <c r="O1149" s="9">
        <f t="shared" si="220"/>
        <v>87.42</v>
      </c>
    </row>
    <row r="1150" spans="1:15" x14ac:dyDescent="0.2">
      <c r="A1150" s="1" t="s">
        <v>2260</v>
      </c>
      <c r="B1150" s="2">
        <v>35.950000000000003</v>
      </c>
      <c r="C1150" s="2">
        <v>85.08</v>
      </c>
      <c r="D1150" s="2" t="s">
        <v>2261</v>
      </c>
      <c r="H1150" s="2" t="s">
        <v>3659</v>
      </c>
      <c r="J1150" s="7" t="str">
        <f t="shared" si="207"/>
        <v>Crossville</v>
      </c>
      <c r="K1150" s="7" t="str">
        <f t="shared" si="208"/>
        <v xml:space="preserve">TN  </v>
      </c>
      <c r="L1150" s="7" t="str">
        <f t="shared" si="217"/>
        <v xml:space="preserve">TN </v>
      </c>
      <c r="M1150" s="7" t="str">
        <f t="shared" si="218"/>
        <v xml:space="preserve">TN </v>
      </c>
      <c r="N1150" s="9">
        <f t="shared" si="219"/>
        <v>35.950000000000003</v>
      </c>
      <c r="O1150" s="9">
        <f t="shared" si="220"/>
        <v>85.08</v>
      </c>
    </row>
    <row r="1151" spans="1:15" x14ac:dyDescent="0.2">
      <c r="A1151" s="1" t="s">
        <v>2262</v>
      </c>
      <c r="B1151" s="2">
        <v>36.020000000000003</v>
      </c>
      <c r="C1151" s="2">
        <v>89.4</v>
      </c>
      <c r="D1151" s="2" t="s">
        <v>2263</v>
      </c>
      <c r="H1151" s="2" t="s">
        <v>3660</v>
      </c>
      <c r="J1151" s="7" t="str">
        <f t="shared" si="207"/>
        <v>Dyersburg</v>
      </c>
      <c r="K1151" s="7" t="str">
        <f t="shared" si="208"/>
        <v xml:space="preserve">TN  </v>
      </c>
      <c r="L1151" s="7" t="str">
        <f t="shared" si="217"/>
        <v xml:space="preserve">TN </v>
      </c>
      <c r="M1151" s="7" t="str">
        <f t="shared" si="218"/>
        <v xml:space="preserve">TN </v>
      </c>
      <c r="N1151" s="9">
        <f t="shared" si="219"/>
        <v>36.020000000000003</v>
      </c>
      <c r="O1151" s="9">
        <f t="shared" si="220"/>
        <v>89.4</v>
      </c>
    </row>
    <row r="1152" spans="1:15" x14ac:dyDescent="0.2">
      <c r="A1152" s="1" t="s">
        <v>2264</v>
      </c>
      <c r="B1152" s="2">
        <v>35.6</v>
      </c>
      <c r="C1152" s="2">
        <v>88.92</v>
      </c>
      <c r="D1152" s="2" t="s">
        <v>2265</v>
      </c>
      <c r="H1152" s="2" t="s">
        <v>3661</v>
      </c>
      <c r="J1152" s="7" t="str">
        <f t="shared" si="207"/>
        <v>Jackson</v>
      </c>
      <c r="K1152" s="7" t="str">
        <f t="shared" si="208"/>
        <v xml:space="preserve">TN  </v>
      </c>
      <c r="L1152" s="7" t="str">
        <f t="shared" si="217"/>
        <v xml:space="preserve">TN </v>
      </c>
      <c r="M1152" s="7" t="str">
        <f t="shared" si="218"/>
        <v xml:space="preserve">TN </v>
      </c>
      <c r="N1152" s="9">
        <f t="shared" si="219"/>
        <v>35.6</v>
      </c>
      <c r="O1152" s="9">
        <f t="shared" si="220"/>
        <v>88.92</v>
      </c>
    </row>
    <row r="1153" spans="1:15" x14ac:dyDescent="0.2">
      <c r="A1153" s="1" t="s">
        <v>2266</v>
      </c>
      <c r="B1153" s="2">
        <v>35.82</v>
      </c>
      <c r="C1153" s="2">
        <v>83.98</v>
      </c>
      <c r="D1153" s="2" t="s">
        <v>2267</v>
      </c>
      <c r="H1153" s="2" t="s">
        <v>3662</v>
      </c>
      <c r="J1153" s="7" t="str">
        <f t="shared" si="207"/>
        <v>Knoxville</v>
      </c>
      <c r="K1153" s="7" t="str">
        <f t="shared" si="208"/>
        <v xml:space="preserve">TN  </v>
      </c>
      <c r="L1153" s="7" t="str">
        <f t="shared" si="217"/>
        <v xml:space="preserve">TN </v>
      </c>
      <c r="M1153" s="7" t="str">
        <f t="shared" si="218"/>
        <v xml:space="preserve">TN </v>
      </c>
      <c r="N1153" s="9">
        <f t="shared" si="219"/>
        <v>35.82</v>
      </c>
      <c r="O1153" s="9">
        <f t="shared" si="220"/>
        <v>83.98</v>
      </c>
    </row>
    <row r="1154" spans="1:15" x14ac:dyDescent="0.2">
      <c r="A1154" s="1" t="s">
        <v>2268</v>
      </c>
      <c r="B1154" s="2">
        <v>35.049999999999997</v>
      </c>
      <c r="C1154" s="2">
        <v>90</v>
      </c>
      <c r="D1154" s="2" t="s">
        <v>2269</v>
      </c>
      <c r="E1154" s="2" t="s">
        <v>2270</v>
      </c>
      <c r="H1154" s="2" t="s">
        <v>3663</v>
      </c>
      <c r="J1154" s="7" t="str">
        <f t="shared" si="207"/>
        <v>Memphis Int</v>
      </c>
      <c r="K1154" s="7" t="str">
        <f t="shared" si="208"/>
        <v xml:space="preserve">,TN </v>
      </c>
      <c r="L1154" s="7" t="str">
        <f t="shared" si="217"/>
        <v>,TN</v>
      </c>
      <c r="M1154" s="7" t="str">
        <f t="shared" si="218"/>
        <v>TN</v>
      </c>
      <c r="N1154" s="9">
        <f t="shared" si="219"/>
        <v>35.049999999999997</v>
      </c>
      <c r="O1154" s="9">
        <f t="shared" si="220"/>
        <v>90</v>
      </c>
    </row>
    <row r="1155" spans="1:15" x14ac:dyDescent="0.2">
      <c r="A1155" s="1" t="s">
        <v>2271</v>
      </c>
      <c r="B1155" s="2">
        <v>35.35</v>
      </c>
      <c r="C1155" s="2">
        <v>89.87</v>
      </c>
      <c r="D1155" s="2" t="s">
        <v>2269</v>
      </c>
      <c r="E1155" s="2" t="s">
        <v>2272</v>
      </c>
      <c r="H1155" s="2" t="s">
        <v>3664</v>
      </c>
      <c r="J1155" s="7" t="str">
        <f t="shared" si="207"/>
        <v>Memphis NA</v>
      </c>
      <c r="K1155" s="7" t="str">
        <f t="shared" si="208"/>
        <v xml:space="preserve">,TN </v>
      </c>
      <c r="L1155" s="7" t="str">
        <f t="shared" si="217"/>
        <v>,TN</v>
      </c>
      <c r="M1155" s="7" t="str">
        <f t="shared" si="218"/>
        <v>TN</v>
      </c>
      <c r="N1155" s="9">
        <f t="shared" si="219"/>
        <v>35.35</v>
      </c>
      <c r="O1155" s="9">
        <f t="shared" si="220"/>
        <v>89.87</v>
      </c>
    </row>
    <row r="1156" spans="1:15" x14ac:dyDescent="0.2">
      <c r="A1156" s="1" t="s">
        <v>2273</v>
      </c>
      <c r="B1156" s="2">
        <v>35.15</v>
      </c>
      <c r="C1156" s="2">
        <v>85.51</v>
      </c>
      <c r="D1156" s="2" t="s">
        <v>2274</v>
      </c>
      <c r="H1156" s="2" t="s">
        <v>3665</v>
      </c>
      <c r="J1156" s="7" t="str">
        <f t="shared" si="207"/>
        <v>Monteagle</v>
      </c>
      <c r="K1156" s="7" t="str">
        <f t="shared" si="208"/>
        <v xml:space="preserve">TN  </v>
      </c>
      <c r="L1156" s="7" t="str">
        <f t="shared" si="217"/>
        <v xml:space="preserve">TN </v>
      </c>
      <c r="M1156" s="7" t="str">
        <f t="shared" si="218"/>
        <v xml:space="preserve">TN </v>
      </c>
      <c r="N1156" s="9">
        <f t="shared" si="219"/>
        <v>35.15</v>
      </c>
      <c r="O1156" s="9">
        <f t="shared" si="220"/>
        <v>85.51</v>
      </c>
    </row>
    <row r="1157" spans="1:15" x14ac:dyDescent="0.2">
      <c r="A1157" s="1" t="s">
        <v>2275</v>
      </c>
      <c r="B1157" s="2">
        <v>36.119999999999997</v>
      </c>
      <c r="C1157" s="2">
        <v>86.68</v>
      </c>
      <c r="D1157" s="2" t="s">
        <v>2276</v>
      </c>
      <c r="H1157" s="2" t="s">
        <v>3666</v>
      </c>
      <c r="J1157" s="7" t="str">
        <f t="shared" si="207"/>
        <v>Nashville</v>
      </c>
      <c r="K1157" s="7" t="str">
        <f t="shared" si="208"/>
        <v xml:space="preserve">TN  </v>
      </c>
      <c r="L1157" s="7" t="str">
        <f t="shared" si="217"/>
        <v xml:space="preserve">TN </v>
      </c>
      <c r="M1157" s="7" t="str">
        <f t="shared" si="218"/>
        <v xml:space="preserve">TN </v>
      </c>
      <c r="N1157" s="9">
        <f t="shared" si="219"/>
        <v>36.119999999999997</v>
      </c>
      <c r="O1157" s="9">
        <f t="shared" si="220"/>
        <v>86.68</v>
      </c>
    </row>
    <row r="1158" spans="1:15" x14ac:dyDescent="0.2">
      <c r="A1158" s="1" t="s">
        <v>2277</v>
      </c>
      <c r="B1158" s="2">
        <v>36</v>
      </c>
      <c r="C1158" s="2">
        <v>86.5</v>
      </c>
      <c r="D1158" s="2" t="s">
        <v>2278</v>
      </c>
      <c r="H1158" s="2" t="s">
        <v>3667</v>
      </c>
      <c r="J1158" s="7" t="str">
        <f t="shared" si="207"/>
        <v>Smyrna</v>
      </c>
      <c r="K1158" s="7" t="str">
        <f t="shared" si="208"/>
        <v xml:space="preserve">TN  </v>
      </c>
      <c r="L1158" s="7" t="str">
        <f t="shared" si="217"/>
        <v xml:space="preserve">TN </v>
      </c>
      <c r="M1158" s="7" t="str">
        <f t="shared" si="218"/>
        <v xml:space="preserve">TN </v>
      </c>
      <c r="N1158" s="9">
        <f t="shared" si="219"/>
        <v>36</v>
      </c>
      <c r="O1158" s="9">
        <f t="shared" si="220"/>
        <v>86.5</v>
      </c>
    </row>
    <row r="1159" spans="1:15" x14ac:dyDescent="0.2">
      <c r="A1159" s="4"/>
      <c r="H1159" s="2" t="s">
        <v>2726</v>
      </c>
      <c r="J1159" s="7"/>
      <c r="K1159" s="7"/>
      <c r="L1159" s="7"/>
      <c r="M1159" s="7"/>
      <c r="N1159" s="9"/>
      <c r="O1159" s="9"/>
    </row>
    <row r="1160" spans="1:15" x14ac:dyDescent="0.2">
      <c r="A1160" s="1" t="s">
        <v>34</v>
      </c>
      <c r="H1160" s="2" t="s">
        <v>2726</v>
      </c>
      <c r="J1160" s="7"/>
      <c r="K1160" s="7"/>
      <c r="L1160" s="7"/>
      <c r="M1160" s="7"/>
      <c r="N1160" s="9"/>
      <c r="O1160" s="9"/>
    </row>
    <row r="1161" spans="1:15" x14ac:dyDescent="0.2">
      <c r="A1161" s="4"/>
      <c r="H1161" s="2" t="s">
        <v>2726</v>
      </c>
      <c r="J1161" s="7"/>
      <c r="K1161" s="7"/>
      <c r="L1161" s="7"/>
      <c r="M1161" s="7"/>
      <c r="N1161" s="9"/>
      <c r="O1161" s="9"/>
    </row>
    <row r="1162" spans="1:15" x14ac:dyDescent="0.2">
      <c r="A1162" s="1" t="s">
        <v>2279</v>
      </c>
      <c r="B1162" s="2">
        <v>32.42</v>
      </c>
      <c r="C1162" s="2">
        <v>99.68</v>
      </c>
      <c r="D1162" s="2" t="s">
        <v>2280</v>
      </c>
      <c r="H1162" s="2" t="s">
        <v>3668</v>
      </c>
      <c r="J1162" s="7" t="str">
        <f t="shared" si="207"/>
        <v>Abilene</v>
      </c>
      <c r="K1162" s="7" t="str">
        <f t="shared" si="208"/>
        <v xml:space="preserve">TX  </v>
      </c>
      <c r="L1162" s="7" t="str">
        <f t="shared" ref="L1162:L1225" si="221">LEFT(K1162,LEN(K1162)-1)</f>
        <v xml:space="preserve">TX </v>
      </c>
      <c r="M1162" s="7" t="str">
        <f t="shared" ref="M1162:M1225" si="222">SUBSTITUTE(L1162,",","")</f>
        <v xml:space="preserve">TX </v>
      </c>
      <c r="N1162" s="9">
        <f t="shared" ref="N1162:N1193" si="223">B1162</f>
        <v>32.42</v>
      </c>
      <c r="O1162" s="9">
        <f t="shared" ref="O1162:O1193" si="224">C1162</f>
        <v>99.68</v>
      </c>
    </row>
    <row r="1163" spans="1:15" x14ac:dyDescent="0.2">
      <c r="A1163" s="1" t="s">
        <v>2281</v>
      </c>
      <c r="B1163" s="2">
        <v>27.73</v>
      </c>
      <c r="C1163" s="2">
        <v>98.03</v>
      </c>
      <c r="D1163" s="2" t="s">
        <v>2282</v>
      </c>
      <c r="H1163" s="2" t="s">
        <v>3669</v>
      </c>
      <c r="J1163" s="7" t="str">
        <f t="shared" si="207"/>
        <v>Alice</v>
      </c>
      <c r="K1163" s="7" t="str">
        <f t="shared" si="208"/>
        <v xml:space="preserve">TX  </v>
      </c>
      <c r="L1163" s="7" t="str">
        <f t="shared" si="221"/>
        <v xml:space="preserve">TX </v>
      </c>
      <c r="M1163" s="7" t="str">
        <f t="shared" si="222"/>
        <v xml:space="preserve">TX </v>
      </c>
      <c r="N1163" s="9">
        <f t="shared" si="223"/>
        <v>27.73</v>
      </c>
      <c r="O1163" s="9">
        <f t="shared" si="224"/>
        <v>98.03</v>
      </c>
    </row>
    <row r="1164" spans="1:15" x14ac:dyDescent="0.2">
      <c r="A1164" s="1" t="s">
        <v>2283</v>
      </c>
      <c r="B1164" s="2">
        <v>35.229999999999997</v>
      </c>
      <c r="C1164" s="2">
        <v>101.7</v>
      </c>
      <c r="D1164" s="2" t="s">
        <v>2284</v>
      </c>
      <c r="H1164" s="2" t="s">
        <v>3670</v>
      </c>
      <c r="J1164" s="7" t="str">
        <f t="shared" si="207"/>
        <v>Amarillo</v>
      </c>
      <c r="K1164" s="7" t="str">
        <f t="shared" si="208"/>
        <v xml:space="preserve">TX  </v>
      </c>
      <c r="L1164" s="7" t="str">
        <f t="shared" si="221"/>
        <v xml:space="preserve">TX </v>
      </c>
      <c r="M1164" s="7" t="str">
        <f t="shared" si="222"/>
        <v xml:space="preserve">TX </v>
      </c>
      <c r="N1164" s="9">
        <f t="shared" si="223"/>
        <v>35.229999999999997</v>
      </c>
      <c r="O1164" s="9">
        <f t="shared" si="224"/>
        <v>101.7</v>
      </c>
    </row>
    <row r="1165" spans="1:15" x14ac:dyDescent="0.2">
      <c r="A1165" s="1" t="s">
        <v>2285</v>
      </c>
      <c r="B1165" s="2">
        <v>30.3</v>
      </c>
      <c r="C1165" s="2">
        <v>97.7</v>
      </c>
      <c r="D1165" s="2" t="s">
        <v>2286</v>
      </c>
      <c r="H1165" s="2" t="s">
        <v>3671</v>
      </c>
      <c r="J1165" s="7" t="str">
        <f t="shared" si="207"/>
        <v>Austin</v>
      </c>
      <c r="K1165" s="7" t="str">
        <f t="shared" si="208"/>
        <v xml:space="preserve">TX  </v>
      </c>
      <c r="L1165" s="7" t="str">
        <f t="shared" si="221"/>
        <v xml:space="preserve">TX </v>
      </c>
      <c r="M1165" s="7" t="str">
        <f t="shared" si="222"/>
        <v xml:space="preserve">TX </v>
      </c>
      <c r="N1165" s="9">
        <f t="shared" si="223"/>
        <v>30.3</v>
      </c>
      <c r="O1165" s="9">
        <f t="shared" si="224"/>
        <v>97.7</v>
      </c>
    </row>
    <row r="1166" spans="1:15" x14ac:dyDescent="0.2">
      <c r="A1166" s="1" t="s">
        <v>2287</v>
      </c>
      <c r="B1166" s="2">
        <v>30.2</v>
      </c>
      <c r="C1166" s="2">
        <v>97.68</v>
      </c>
      <c r="D1166" s="2" t="s">
        <v>2288</v>
      </c>
      <c r="E1166" s="2" t="s">
        <v>2289</v>
      </c>
      <c r="H1166" s="2" t="s">
        <v>3672</v>
      </c>
      <c r="J1166" s="7" t="str">
        <f t="shared" si="207"/>
        <v>Bergstrom A</v>
      </c>
      <c r="K1166" s="7" t="str">
        <f t="shared" si="208"/>
        <v xml:space="preserve">,TX </v>
      </c>
      <c r="L1166" s="7" t="str">
        <f t="shared" si="221"/>
        <v>,TX</v>
      </c>
      <c r="M1166" s="7" t="str">
        <f t="shared" si="222"/>
        <v>TX</v>
      </c>
      <c r="N1166" s="9">
        <f t="shared" si="223"/>
        <v>30.2</v>
      </c>
      <c r="O1166" s="9">
        <f t="shared" si="224"/>
        <v>97.68</v>
      </c>
    </row>
    <row r="1167" spans="1:15" x14ac:dyDescent="0.2">
      <c r="A1167" s="1" t="s">
        <v>2290</v>
      </c>
      <c r="B1167" s="2">
        <v>32.39</v>
      </c>
      <c r="C1167" s="2">
        <v>101.48</v>
      </c>
      <c r="D1167" s="2" t="s">
        <v>123</v>
      </c>
      <c r="E1167" s="2" t="s">
        <v>2291</v>
      </c>
      <c r="H1167" s="2" t="s">
        <v>3673</v>
      </c>
      <c r="J1167" s="7" t="str">
        <f t="shared" si="207"/>
        <v>Big Sk</v>
      </c>
      <c r="K1167" s="7" t="str">
        <f t="shared" si="208"/>
        <v xml:space="preserve">,TX </v>
      </c>
      <c r="L1167" s="7" t="str">
        <f t="shared" si="221"/>
        <v>,TX</v>
      </c>
      <c r="M1167" s="7" t="str">
        <f t="shared" si="222"/>
        <v>TX</v>
      </c>
      <c r="N1167" s="9">
        <f t="shared" si="223"/>
        <v>32.39</v>
      </c>
      <c r="O1167" s="9">
        <f t="shared" si="224"/>
        <v>101.48</v>
      </c>
    </row>
    <row r="1168" spans="1:15" x14ac:dyDescent="0.2">
      <c r="A1168" s="1" t="s">
        <v>2292</v>
      </c>
      <c r="B1168" s="2">
        <v>32.299999999999997</v>
      </c>
      <c r="C1168" s="2">
        <v>101.45</v>
      </c>
      <c r="D1168" s="2" t="s">
        <v>123</v>
      </c>
      <c r="E1168" s="2" t="s">
        <v>2293</v>
      </c>
      <c r="H1168" s="2" t="s">
        <v>3674</v>
      </c>
      <c r="J1168" s="7" t="str">
        <f t="shared" si="207"/>
        <v>Big Sprin</v>
      </c>
      <c r="K1168" s="7" t="str">
        <f t="shared" si="208"/>
        <v xml:space="preserve">,TX </v>
      </c>
      <c r="L1168" s="7" t="str">
        <f t="shared" si="221"/>
        <v>,TX</v>
      </c>
      <c r="M1168" s="7" t="str">
        <f t="shared" si="222"/>
        <v>TX</v>
      </c>
      <c r="N1168" s="9">
        <f t="shared" si="223"/>
        <v>32.299999999999997</v>
      </c>
      <c r="O1168" s="9">
        <f t="shared" si="224"/>
        <v>101.45</v>
      </c>
    </row>
    <row r="1169" spans="1:15" x14ac:dyDescent="0.2">
      <c r="A1169" s="1" t="s">
        <v>2294</v>
      </c>
      <c r="B1169" s="2">
        <v>25.9</v>
      </c>
      <c r="C1169" s="2">
        <v>97.43</v>
      </c>
      <c r="D1169" s="2" t="s">
        <v>2295</v>
      </c>
      <c r="H1169" s="2" t="s">
        <v>3675</v>
      </c>
      <c r="J1169" s="7" t="str">
        <f t="shared" si="207"/>
        <v>Brownsville</v>
      </c>
      <c r="K1169" s="7" t="str">
        <f t="shared" si="208"/>
        <v xml:space="preserve">TX  </v>
      </c>
      <c r="L1169" s="7" t="str">
        <f t="shared" si="221"/>
        <v xml:space="preserve">TX </v>
      </c>
      <c r="M1169" s="7" t="str">
        <f t="shared" si="222"/>
        <v xml:space="preserve">TX </v>
      </c>
      <c r="N1169" s="9">
        <f t="shared" si="223"/>
        <v>25.9</v>
      </c>
      <c r="O1169" s="9">
        <f t="shared" si="224"/>
        <v>97.43</v>
      </c>
    </row>
    <row r="1170" spans="1:15" x14ac:dyDescent="0.2">
      <c r="A1170" s="1" t="s">
        <v>2296</v>
      </c>
      <c r="B1170" s="2">
        <v>31.79</v>
      </c>
      <c r="C1170" s="2">
        <v>98.96</v>
      </c>
      <c r="D1170" s="2" t="s">
        <v>2297</v>
      </c>
      <c r="H1170" s="2" t="s">
        <v>3676</v>
      </c>
      <c r="J1170" s="7" t="str">
        <f t="shared" si="207"/>
        <v>Brownwood</v>
      </c>
      <c r="K1170" s="7" t="str">
        <f t="shared" si="208"/>
        <v xml:space="preserve">TX  </v>
      </c>
      <c r="L1170" s="7" t="str">
        <f t="shared" si="221"/>
        <v xml:space="preserve">TX </v>
      </c>
      <c r="M1170" s="7" t="str">
        <f t="shared" si="222"/>
        <v xml:space="preserve">TX </v>
      </c>
      <c r="N1170" s="9">
        <f t="shared" si="223"/>
        <v>31.79</v>
      </c>
      <c r="O1170" s="9">
        <f t="shared" si="224"/>
        <v>98.96</v>
      </c>
    </row>
    <row r="1171" spans="1:15" x14ac:dyDescent="0.2">
      <c r="A1171" s="1" t="s">
        <v>2298</v>
      </c>
      <c r="B1171" s="2">
        <v>32.78</v>
      </c>
      <c r="C1171" s="2">
        <v>97.43</v>
      </c>
      <c r="D1171" s="2" t="s">
        <v>2299</v>
      </c>
      <c r="E1171" s="2" t="s">
        <v>2300</v>
      </c>
      <c r="H1171" s="2" t="s">
        <v>3677</v>
      </c>
      <c r="J1171" s="7" t="str">
        <f t="shared" si="207"/>
        <v>Carswell AF</v>
      </c>
      <c r="K1171" s="7" t="str">
        <f t="shared" si="208"/>
        <v xml:space="preserve">,TX </v>
      </c>
      <c r="L1171" s="7" t="str">
        <f t="shared" si="221"/>
        <v>,TX</v>
      </c>
      <c r="M1171" s="7" t="str">
        <f t="shared" si="222"/>
        <v>TX</v>
      </c>
      <c r="N1171" s="9">
        <f t="shared" si="223"/>
        <v>32.78</v>
      </c>
      <c r="O1171" s="9">
        <f t="shared" si="224"/>
        <v>97.43</v>
      </c>
    </row>
    <row r="1172" spans="1:15" x14ac:dyDescent="0.2">
      <c r="A1172" s="1" t="s">
        <v>2301</v>
      </c>
      <c r="B1172" s="2">
        <v>28.37</v>
      </c>
      <c r="C1172" s="2">
        <v>97.67</v>
      </c>
      <c r="D1172" s="2" t="s">
        <v>2302</v>
      </c>
      <c r="E1172" s="2" t="s">
        <v>2303</v>
      </c>
      <c r="H1172" s="2" t="s">
        <v>3678</v>
      </c>
      <c r="J1172" s="7" t="str">
        <f t="shared" si="207"/>
        <v>Chase NA</v>
      </c>
      <c r="K1172" s="7" t="str">
        <f t="shared" si="208"/>
        <v xml:space="preserve">,TX </v>
      </c>
      <c r="L1172" s="7" t="str">
        <f t="shared" si="221"/>
        <v>,TX</v>
      </c>
      <c r="M1172" s="7" t="str">
        <f t="shared" si="222"/>
        <v>TX</v>
      </c>
      <c r="N1172" s="9">
        <f t="shared" si="223"/>
        <v>28.37</v>
      </c>
      <c r="O1172" s="9">
        <f t="shared" si="224"/>
        <v>97.67</v>
      </c>
    </row>
    <row r="1173" spans="1:15" x14ac:dyDescent="0.2">
      <c r="A1173" s="1" t="s">
        <v>2304</v>
      </c>
      <c r="B1173" s="2">
        <v>34.43</v>
      </c>
      <c r="C1173" s="2">
        <v>100.28</v>
      </c>
      <c r="D1173" s="2" t="s">
        <v>2305</v>
      </c>
      <c r="H1173" s="2" t="s">
        <v>3679</v>
      </c>
      <c r="J1173" s="7" t="str">
        <f t="shared" si="207"/>
        <v>Childress</v>
      </c>
      <c r="K1173" s="7" t="str">
        <f t="shared" si="208"/>
        <v xml:space="preserve">TX  </v>
      </c>
      <c r="L1173" s="7" t="str">
        <f t="shared" si="221"/>
        <v xml:space="preserve">TX </v>
      </c>
      <c r="M1173" s="7" t="str">
        <f t="shared" si="222"/>
        <v xml:space="preserve">TX </v>
      </c>
      <c r="N1173" s="9">
        <f t="shared" si="223"/>
        <v>34.43</v>
      </c>
      <c r="O1173" s="9">
        <f t="shared" si="224"/>
        <v>100.28</v>
      </c>
    </row>
    <row r="1174" spans="1:15" x14ac:dyDescent="0.2">
      <c r="A1174" s="1" t="s">
        <v>2306</v>
      </c>
      <c r="B1174" s="2">
        <v>30.58</v>
      </c>
      <c r="C1174" s="2">
        <v>96.37</v>
      </c>
      <c r="D1174" s="2" t="s">
        <v>2307</v>
      </c>
      <c r="E1174" s="2" t="s">
        <v>2308</v>
      </c>
      <c r="H1174" s="2" t="s">
        <v>3680</v>
      </c>
      <c r="J1174" s="7" t="str">
        <f t="shared" ref="J1174:J1237" si="225">LEFT(H1174,LEN(H1174)-5)</f>
        <v>College St</v>
      </c>
      <c r="K1174" s="7" t="str">
        <f t="shared" ref="K1174:K1237" si="226">RIGHT(H1174,4)</f>
        <v xml:space="preserve">,TX </v>
      </c>
      <c r="L1174" s="7" t="str">
        <f t="shared" si="221"/>
        <v>,TX</v>
      </c>
      <c r="M1174" s="7" t="str">
        <f t="shared" si="222"/>
        <v>TX</v>
      </c>
      <c r="N1174" s="9">
        <f t="shared" si="223"/>
        <v>30.58</v>
      </c>
      <c r="O1174" s="9">
        <f t="shared" si="224"/>
        <v>96.37</v>
      </c>
    </row>
    <row r="1175" spans="1:15" x14ac:dyDescent="0.2">
      <c r="A1175" s="1" t="s">
        <v>2309</v>
      </c>
      <c r="B1175" s="2">
        <v>27.77</v>
      </c>
      <c r="C1175" s="2">
        <v>97.5</v>
      </c>
      <c r="D1175" s="2" t="s">
        <v>2310</v>
      </c>
      <c r="E1175" s="2" t="s">
        <v>2311</v>
      </c>
      <c r="H1175" s="2" t="s">
        <v>3681</v>
      </c>
      <c r="J1175" s="7" t="str">
        <f t="shared" si="225"/>
        <v>Corpus Chrs</v>
      </c>
      <c r="K1175" s="7" t="str">
        <f t="shared" si="226"/>
        <v xml:space="preserve">,TX </v>
      </c>
      <c r="L1175" s="7" t="str">
        <f t="shared" si="221"/>
        <v>,TX</v>
      </c>
      <c r="M1175" s="7" t="str">
        <f t="shared" si="222"/>
        <v>TX</v>
      </c>
      <c r="N1175" s="9">
        <f t="shared" si="223"/>
        <v>27.77</v>
      </c>
      <c r="O1175" s="9">
        <f t="shared" si="224"/>
        <v>97.5</v>
      </c>
    </row>
    <row r="1176" spans="1:15" x14ac:dyDescent="0.2">
      <c r="A1176" s="1" t="s">
        <v>2312</v>
      </c>
      <c r="B1176" s="2">
        <v>27.7</v>
      </c>
      <c r="C1176" s="2">
        <v>97.28</v>
      </c>
      <c r="D1176" s="2" t="s">
        <v>2310</v>
      </c>
      <c r="E1176" s="2" t="s">
        <v>2311</v>
      </c>
      <c r="H1176" s="2" t="s">
        <v>3681</v>
      </c>
      <c r="J1176" s="7" t="str">
        <f t="shared" si="225"/>
        <v>Corpus Chrs</v>
      </c>
      <c r="K1176" s="7" t="str">
        <f t="shared" si="226"/>
        <v xml:space="preserve">,TX </v>
      </c>
      <c r="L1176" s="7" t="str">
        <f t="shared" si="221"/>
        <v>,TX</v>
      </c>
      <c r="M1176" s="7" t="str">
        <f t="shared" si="222"/>
        <v>TX</v>
      </c>
      <c r="N1176" s="9">
        <f t="shared" si="223"/>
        <v>27.7</v>
      </c>
      <c r="O1176" s="9">
        <f t="shared" si="224"/>
        <v>97.28</v>
      </c>
    </row>
    <row r="1177" spans="1:15" x14ac:dyDescent="0.2">
      <c r="A1177" s="1" t="s">
        <v>2313</v>
      </c>
      <c r="B1177" s="2">
        <v>28.45</v>
      </c>
      <c r="C1177" s="2">
        <v>99.22</v>
      </c>
      <c r="D1177" s="2" t="s">
        <v>2314</v>
      </c>
      <c r="H1177" s="2" t="s">
        <v>3682</v>
      </c>
      <c r="J1177" s="7" t="str">
        <f t="shared" si="225"/>
        <v>Cotulla</v>
      </c>
      <c r="K1177" s="7" t="str">
        <f t="shared" si="226"/>
        <v xml:space="preserve">TX  </v>
      </c>
      <c r="L1177" s="7" t="str">
        <f t="shared" si="221"/>
        <v xml:space="preserve">TX </v>
      </c>
      <c r="M1177" s="7" t="str">
        <f t="shared" si="222"/>
        <v xml:space="preserve">TX </v>
      </c>
      <c r="N1177" s="9">
        <f t="shared" si="223"/>
        <v>28.45</v>
      </c>
      <c r="O1177" s="9">
        <f t="shared" si="224"/>
        <v>99.22</v>
      </c>
    </row>
    <row r="1178" spans="1:15" x14ac:dyDescent="0.2">
      <c r="A1178" s="1" t="s">
        <v>2315</v>
      </c>
      <c r="B1178" s="2">
        <v>30.07</v>
      </c>
      <c r="C1178" s="2">
        <v>95.55</v>
      </c>
      <c r="D1178" s="2" t="s">
        <v>2316</v>
      </c>
      <c r="E1178" s="2" t="s">
        <v>2317</v>
      </c>
      <c r="H1178" s="2" t="s">
        <v>3683</v>
      </c>
      <c r="J1178" s="7" t="str">
        <f t="shared" si="225"/>
        <v>D.w. Hook</v>
      </c>
      <c r="K1178" s="7" t="str">
        <f t="shared" si="226"/>
        <v xml:space="preserve">,TX </v>
      </c>
      <c r="L1178" s="7" t="str">
        <f t="shared" si="221"/>
        <v>,TX</v>
      </c>
      <c r="M1178" s="7" t="str">
        <f t="shared" si="222"/>
        <v>TX</v>
      </c>
      <c r="N1178" s="9">
        <f t="shared" si="223"/>
        <v>30.07</v>
      </c>
      <c r="O1178" s="9">
        <f t="shared" si="224"/>
        <v>95.55</v>
      </c>
    </row>
    <row r="1179" spans="1:15" x14ac:dyDescent="0.2">
      <c r="A1179" s="1" t="s">
        <v>2318</v>
      </c>
      <c r="B1179" s="2">
        <v>36.020000000000003</v>
      </c>
      <c r="C1179" s="2">
        <v>102.55</v>
      </c>
      <c r="D1179" s="2" t="s">
        <v>2319</v>
      </c>
      <c r="H1179" s="2" t="s">
        <v>3684</v>
      </c>
      <c r="J1179" s="7" t="str">
        <f t="shared" si="225"/>
        <v>Dalhart</v>
      </c>
      <c r="K1179" s="7" t="str">
        <f t="shared" si="226"/>
        <v xml:space="preserve">TX  </v>
      </c>
      <c r="L1179" s="7" t="str">
        <f t="shared" si="221"/>
        <v xml:space="preserve">TX </v>
      </c>
      <c r="M1179" s="7" t="str">
        <f t="shared" si="222"/>
        <v xml:space="preserve">TX </v>
      </c>
      <c r="N1179" s="9">
        <f t="shared" si="223"/>
        <v>36.020000000000003</v>
      </c>
      <c r="O1179" s="9">
        <f t="shared" si="224"/>
        <v>102.55</v>
      </c>
    </row>
    <row r="1180" spans="1:15" x14ac:dyDescent="0.2">
      <c r="A1180" s="1" t="s">
        <v>2320</v>
      </c>
      <c r="B1180" s="2">
        <v>32.729999999999997</v>
      </c>
      <c r="C1180" s="2">
        <v>96.97</v>
      </c>
      <c r="D1180" s="2" t="s">
        <v>2321</v>
      </c>
      <c r="E1180" s="2" t="s">
        <v>2303</v>
      </c>
      <c r="H1180" s="2" t="s">
        <v>3685</v>
      </c>
      <c r="J1180" s="7" t="str">
        <f t="shared" si="225"/>
        <v>Dallas NA</v>
      </c>
      <c r="K1180" s="7" t="str">
        <f t="shared" si="226"/>
        <v xml:space="preserve">,TX </v>
      </c>
      <c r="L1180" s="7" t="str">
        <f t="shared" si="221"/>
        <v>,TX</v>
      </c>
      <c r="M1180" s="7" t="str">
        <f t="shared" si="222"/>
        <v>TX</v>
      </c>
      <c r="N1180" s="9">
        <f t="shared" si="223"/>
        <v>32.729999999999997</v>
      </c>
      <c r="O1180" s="9">
        <f t="shared" si="224"/>
        <v>96.97</v>
      </c>
    </row>
    <row r="1181" spans="1:15" x14ac:dyDescent="0.2">
      <c r="A1181" s="1" t="s">
        <v>2322</v>
      </c>
      <c r="B1181" s="2">
        <v>32.97</v>
      </c>
      <c r="C1181" s="2">
        <v>96.83</v>
      </c>
      <c r="D1181" s="2" t="s">
        <v>2323</v>
      </c>
      <c r="H1181" s="2" t="s">
        <v>3686</v>
      </c>
      <c r="J1181" s="7" t="str">
        <f t="shared" si="225"/>
        <v>Dallas/Addis</v>
      </c>
      <c r="K1181" s="7" t="str">
        <f t="shared" si="226"/>
        <v xml:space="preserve">TX  </v>
      </c>
      <c r="L1181" s="7" t="str">
        <f t="shared" si="221"/>
        <v xml:space="preserve">TX </v>
      </c>
      <c r="M1181" s="7" t="str">
        <f t="shared" si="222"/>
        <v xml:space="preserve">TX </v>
      </c>
      <c r="N1181" s="9">
        <f t="shared" si="223"/>
        <v>32.97</v>
      </c>
      <c r="O1181" s="9">
        <f t="shared" si="224"/>
        <v>96.83</v>
      </c>
    </row>
    <row r="1182" spans="1:15" x14ac:dyDescent="0.2">
      <c r="A1182" s="1" t="s">
        <v>2324</v>
      </c>
      <c r="B1182" s="2">
        <v>32.9</v>
      </c>
      <c r="C1182" s="2">
        <v>97.03</v>
      </c>
      <c r="D1182" s="2" t="s">
        <v>2325</v>
      </c>
      <c r="H1182" s="2" t="s">
        <v>3687</v>
      </c>
      <c r="J1182" s="7" t="str">
        <f t="shared" si="225"/>
        <v>Dallas/FW</v>
      </c>
      <c r="K1182" s="7" t="str">
        <f t="shared" si="226"/>
        <v xml:space="preserve">TX  </v>
      </c>
      <c r="L1182" s="7" t="str">
        <f t="shared" si="221"/>
        <v xml:space="preserve">TX </v>
      </c>
      <c r="M1182" s="7" t="str">
        <f t="shared" si="222"/>
        <v xml:space="preserve">TX </v>
      </c>
      <c r="N1182" s="9">
        <f t="shared" si="223"/>
        <v>32.9</v>
      </c>
      <c r="O1182" s="9">
        <f t="shared" si="224"/>
        <v>97.03</v>
      </c>
    </row>
    <row r="1183" spans="1:15" x14ac:dyDescent="0.2">
      <c r="A1183" s="1" t="s">
        <v>2326</v>
      </c>
      <c r="B1183" s="2">
        <v>32.85</v>
      </c>
      <c r="C1183" s="2">
        <v>96.85</v>
      </c>
      <c r="D1183" s="2" t="s">
        <v>2327</v>
      </c>
      <c r="H1183" s="2" t="s">
        <v>3688</v>
      </c>
      <c r="J1183" s="7" t="str">
        <f t="shared" si="225"/>
        <v>Dallas/Love</v>
      </c>
      <c r="K1183" s="7" t="str">
        <f t="shared" si="226"/>
        <v xml:space="preserve">TX  </v>
      </c>
      <c r="L1183" s="7" t="str">
        <f t="shared" si="221"/>
        <v xml:space="preserve">TX </v>
      </c>
      <c r="M1183" s="7" t="str">
        <f t="shared" si="222"/>
        <v xml:space="preserve">TX </v>
      </c>
      <c r="N1183" s="9">
        <f t="shared" si="223"/>
        <v>32.85</v>
      </c>
      <c r="O1183" s="9">
        <f t="shared" si="224"/>
        <v>96.85</v>
      </c>
    </row>
    <row r="1184" spans="1:15" x14ac:dyDescent="0.2">
      <c r="A1184" s="1" t="s">
        <v>2328</v>
      </c>
      <c r="B1184" s="2">
        <v>32.68</v>
      </c>
      <c r="C1184" s="2">
        <v>96.87</v>
      </c>
      <c r="D1184" s="2" t="s">
        <v>2329</v>
      </c>
      <c r="H1184" s="2" t="s">
        <v>3689</v>
      </c>
      <c r="J1184" s="7" t="str">
        <f t="shared" si="225"/>
        <v>Dallas/Redbr</v>
      </c>
      <c r="K1184" s="7" t="str">
        <f t="shared" si="226"/>
        <v xml:space="preserve">TX  </v>
      </c>
      <c r="L1184" s="7" t="str">
        <f t="shared" si="221"/>
        <v xml:space="preserve">TX </v>
      </c>
      <c r="M1184" s="7" t="str">
        <f t="shared" si="222"/>
        <v xml:space="preserve">TX </v>
      </c>
      <c r="N1184" s="9">
        <f t="shared" si="223"/>
        <v>32.68</v>
      </c>
      <c r="O1184" s="9">
        <f t="shared" si="224"/>
        <v>96.87</v>
      </c>
    </row>
    <row r="1185" spans="1:15" x14ac:dyDescent="0.2">
      <c r="A1185" s="1" t="s">
        <v>2330</v>
      </c>
      <c r="B1185" s="2">
        <v>29.37</v>
      </c>
      <c r="C1185" s="2">
        <v>100.92</v>
      </c>
      <c r="D1185" s="2" t="s">
        <v>2331</v>
      </c>
      <c r="E1185" s="2" t="s">
        <v>2332</v>
      </c>
      <c r="H1185" s="2" t="s">
        <v>3690</v>
      </c>
      <c r="J1185" s="7" t="str">
        <f t="shared" si="225"/>
        <v>Del Ri</v>
      </c>
      <c r="K1185" s="7" t="str">
        <f t="shared" si="226"/>
        <v xml:space="preserve">,TX </v>
      </c>
      <c r="L1185" s="7" t="str">
        <f t="shared" si="221"/>
        <v>,TX</v>
      </c>
      <c r="M1185" s="7" t="str">
        <f t="shared" si="222"/>
        <v>TX</v>
      </c>
      <c r="N1185" s="9">
        <f t="shared" si="223"/>
        <v>29.37</v>
      </c>
      <c r="O1185" s="9">
        <f t="shared" si="224"/>
        <v>100.92</v>
      </c>
    </row>
    <row r="1186" spans="1:15" x14ac:dyDescent="0.2">
      <c r="A1186" s="1" t="s">
        <v>2333</v>
      </c>
      <c r="B1186" s="2">
        <v>32.43</v>
      </c>
      <c r="C1186" s="2">
        <v>99.85</v>
      </c>
      <c r="D1186" s="2" t="s">
        <v>2334</v>
      </c>
      <c r="E1186" s="2" t="s">
        <v>2300</v>
      </c>
      <c r="H1186" s="2" t="s">
        <v>3691</v>
      </c>
      <c r="J1186" s="7" t="str">
        <f t="shared" si="225"/>
        <v>Dyess AF</v>
      </c>
      <c r="K1186" s="7" t="str">
        <f t="shared" si="226"/>
        <v xml:space="preserve">,TX </v>
      </c>
      <c r="L1186" s="7" t="str">
        <f t="shared" si="221"/>
        <v>,TX</v>
      </c>
      <c r="M1186" s="7" t="str">
        <f t="shared" si="222"/>
        <v>TX</v>
      </c>
      <c r="N1186" s="9">
        <f t="shared" si="223"/>
        <v>32.43</v>
      </c>
      <c r="O1186" s="9">
        <f t="shared" si="224"/>
        <v>99.85</v>
      </c>
    </row>
    <row r="1187" spans="1:15" x14ac:dyDescent="0.2">
      <c r="A1187" s="1" t="s">
        <v>2335</v>
      </c>
      <c r="B1187" s="2">
        <v>31.8</v>
      </c>
      <c r="C1187" s="2">
        <v>106.4</v>
      </c>
      <c r="D1187" s="2" t="s">
        <v>396</v>
      </c>
      <c r="E1187" s="2" t="s">
        <v>2336</v>
      </c>
      <c r="H1187" s="2" t="s">
        <v>3692</v>
      </c>
      <c r="J1187" s="7" t="str">
        <f t="shared" si="225"/>
        <v>El Pas</v>
      </c>
      <c r="K1187" s="7" t="str">
        <f t="shared" si="226"/>
        <v xml:space="preserve">,TX </v>
      </c>
      <c r="L1187" s="7" t="str">
        <f t="shared" si="221"/>
        <v>,TX</v>
      </c>
      <c r="M1187" s="7" t="str">
        <f t="shared" si="222"/>
        <v>TX</v>
      </c>
      <c r="N1187" s="9">
        <f t="shared" si="223"/>
        <v>31.8</v>
      </c>
      <c r="O1187" s="9">
        <f t="shared" si="224"/>
        <v>106.4</v>
      </c>
    </row>
    <row r="1188" spans="1:15" x14ac:dyDescent="0.2">
      <c r="A1188" s="1" t="s">
        <v>2337</v>
      </c>
      <c r="B1188" s="2">
        <v>29.62</v>
      </c>
      <c r="C1188" s="2">
        <v>95.17</v>
      </c>
      <c r="D1188" s="2" t="s">
        <v>2338</v>
      </c>
      <c r="E1188" s="2" t="s">
        <v>2289</v>
      </c>
      <c r="H1188" s="2" t="s">
        <v>3693</v>
      </c>
      <c r="J1188" s="7" t="str">
        <f t="shared" si="225"/>
        <v>Ellington A</v>
      </c>
      <c r="K1188" s="7" t="str">
        <f t="shared" si="226"/>
        <v xml:space="preserve">,TX </v>
      </c>
      <c r="L1188" s="7" t="str">
        <f t="shared" si="221"/>
        <v>,TX</v>
      </c>
      <c r="M1188" s="7" t="str">
        <f t="shared" si="222"/>
        <v>TX</v>
      </c>
      <c r="N1188" s="9">
        <f t="shared" si="223"/>
        <v>29.62</v>
      </c>
      <c r="O1188" s="9">
        <f t="shared" si="224"/>
        <v>95.17</v>
      </c>
    </row>
    <row r="1189" spans="1:15" x14ac:dyDescent="0.2">
      <c r="A1189" s="1" t="s">
        <v>2339</v>
      </c>
      <c r="B1189" s="2">
        <v>32.82</v>
      </c>
      <c r="C1189" s="2">
        <v>97.35</v>
      </c>
      <c r="D1189" s="2" t="s">
        <v>71</v>
      </c>
      <c r="E1189" s="2" t="s">
        <v>2340</v>
      </c>
      <c r="H1189" s="2" t="s">
        <v>3694</v>
      </c>
      <c r="J1189" s="7" t="str">
        <f t="shared" si="225"/>
        <v>Fort Wort</v>
      </c>
      <c r="K1189" s="7" t="str">
        <f t="shared" si="226"/>
        <v xml:space="preserve">,TX </v>
      </c>
      <c r="L1189" s="7" t="str">
        <f t="shared" si="221"/>
        <v>,TX</v>
      </c>
      <c r="M1189" s="7" t="str">
        <f t="shared" si="222"/>
        <v>TX</v>
      </c>
      <c r="N1189" s="9">
        <f t="shared" si="223"/>
        <v>32.82</v>
      </c>
      <c r="O1189" s="9">
        <f t="shared" si="224"/>
        <v>97.35</v>
      </c>
    </row>
    <row r="1190" spans="1:15" x14ac:dyDescent="0.2">
      <c r="A1190" s="1" t="s">
        <v>2341</v>
      </c>
      <c r="B1190" s="2">
        <v>31.15</v>
      </c>
      <c r="C1190" s="2">
        <v>97.72</v>
      </c>
      <c r="D1190" s="2" t="s">
        <v>401</v>
      </c>
      <c r="E1190" s="2" t="s">
        <v>2342</v>
      </c>
      <c r="F1190" s="2" t="s">
        <v>2343</v>
      </c>
      <c r="H1190" s="2" t="s">
        <v>3695</v>
      </c>
      <c r="J1190" s="7" t="str">
        <f t="shared" si="225"/>
        <v>Ft Hood A</v>
      </c>
      <c r="K1190" s="7" t="str">
        <f t="shared" si="226"/>
        <v>f,TX</v>
      </c>
      <c r="L1190" s="7" t="str">
        <f t="shared" si="221"/>
        <v>f,T</v>
      </c>
      <c r="M1190" s="7" t="str">
        <f t="shared" si="222"/>
        <v>fT</v>
      </c>
      <c r="N1190" s="9">
        <f t="shared" si="223"/>
        <v>31.15</v>
      </c>
      <c r="O1190" s="9">
        <f t="shared" si="224"/>
        <v>97.72</v>
      </c>
    </row>
    <row r="1191" spans="1:15" x14ac:dyDescent="0.2">
      <c r="A1191" s="1" t="s">
        <v>2344</v>
      </c>
      <c r="B1191" s="2">
        <v>29.27</v>
      </c>
      <c r="C1191" s="2">
        <v>94.87</v>
      </c>
      <c r="D1191" s="2" t="s">
        <v>2345</v>
      </c>
      <c r="H1191" s="2" t="s">
        <v>3696</v>
      </c>
      <c r="J1191" s="7" t="str">
        <f t="shared" si="225"/>
        <v>Galveston</v>
      </c>
      <c r="K1191" s="7" t="str">
        <f t="shared" si="226"/>
        <v xml:space="preserve">TX  </v>
      </c>
      <c r="L1191" s="7" t="str">
        <f t="shared" si="221"/>
        <v xml:space="preserve">TX </v>
      </c>
      <c r="M1191" s="7" t="str">
        <f t="shared" si="222"/>
        <v xml:space="preserve">TX </v>
      </c>
      <c r="N1191" s="9">
        <f t="shared" si="223"/>
        <v>29.27</v>
      </c>
      <c r="O1191" s="9">
        <f t="shared" si="224"/>
        <v>94.87</v>
      </c>
    </row>
    <row r="1192" spans="1:15" x14ac:dyDescent="0.2">
      <c r="A1192" s="1" t="s">
        <v>2346</v>
      </c>
      <c r="B1192" s="2">
        <v>31.07</v>
      </c>
      <c r="C1192" s="2">
        <v>97.83</v>
      </c>
      <c r="D1192" s="2" t="s">
        <v>2347</v>
      </c>
      <c r="E1192" s="2" t="s">
        <v>2300</v>
      </c>
      <c r="H1192" s="2" t="s">
        <v>3697</v>
      </c>
      <c r="J1192" s="7" t="str">
        <f t="shared" si="225"/>
        <v>Gray AF</v>
      </c>
      <c r="K1192" s="7" t="str">
        <f t="shared" si="226"/>
        <v xml:space="preserve">,TX </v>
      </c>
      <c r="L1192" s="7" t="str">
        <f t="shared" si="221"/>
        <v>,TX</v>
      </c>
      <c r="M1192" s="7" t="str">
        <f t="shared" si="222"/>
        <v>TX</v>
      </c>
      <c r="N1192" s="9">
        <f t="shared" si="223"/>
        <v>31.07</v>
      </c>
      <c r="O1192" s="9">
        <f t="shared" si="224"/>
        <v>97.83</v>
      </c>
    </row>
    <row r="1193" spans="1:15" x14ac:dyDescent="0.2">
      <c r="A1193" s="1" t="s">
        <v>2348</v>
      </c>
      <c r="B1193" s="2">
        <v>33.07</v>
      </c>
      <c r="C1193" s="2">
        <v>96.07</v>
      </c>
      <c r="D1193" s="2" t="s">
        <v>2349</v>
      </c>
      <c r="H1193" s="2" t="s">
        <v>3698</v>
      </c>
      <c r="J1193" s="7" t="str">
        <f t="shared" si="225"/>
        <v>Greenville</v>
      </c>
      <c r="K1193" s="7" t="str">
        <f t="shared" si="226"/>
        <v xml:space="preserve">TX  </v>
      </c>
      <c r="L1193" s="7" t="str">
        <f t="shared" si="221"/>
        <v xml:space="preserve">TX </v>
      </c>
      <c r="M1193" s="7" t="str">
        <f t="shared" si="222"/>
        <v xml:space="preserve">TX </v>
      </c>
      <c r="N1193" s="9">
        <f t="shared" si="223"/>
        <v>33.07</v>
      </c>
      <c r="O1193" s="9">
        <f t="shared" si="224"/>
        <v>96.07</v>
      </c>
    </row>
    <row r="1194" spans="1:15" x14ac:dyDescent="0.2">
      <c r="A1194" s="1" t="s">
        <v>2350</v>
      </c>
      <c r="B1194" s="2">
        <v>31.83</v>
      </c>
      <c r="C1194" s="2">
        <v>104.8</v>
      </c>
      <c r="D1194" s="2" t="s">
        <v>2351</v>
      </c>
      <c r="E1194" s="2" t="s">
        <v>2352</v>
      </c>
      <c r="H1194" s="2" t="s">
        <v>3699</v>
      </c>
      <c r="J1194" s="7" t="str">
        <f t="shared" si="225"/>
        <v>Guadalupe P</v>
      </c>
      <c r="K1194" s="7" t="str">
        <f t="shared" si="226"/>
        <v xml:space="preserve">,TX </v>
      </c>
      <c r="L1194" s="7" t="str">
        <f t="shared" si="221"/>
        <v>,TX</v>
      </c>
      <c r="M1194" s="7" t="str">
        <f t="shared" si="222"/>
        <v>TX</v>
      </c>
      <c r="N1194" s="9">
        <f t="shared" ref="N1194:N1225" si="227">B1194</f>
        <v>31.83</v>
      </c>
      <c r="O1194" s="9">
        <f t="shared" ref="O1194:O1225" si="228">C1194</f>
        <v>104.8</v>
      </c>
    </row>
    <row r="1195" spans="1:15" x14ac:dyDescent="0.2">
      <c r="A1195" s="1" t="s">
        <v>2353</v>
      </c>
      <c r="B1195" s="2">
        <v>26.23</v>
      </c>
      <c r="C1195" s="2">
        <v>97.67</v>
      </c>
      <c r="D1195" s="2" t="s">
        <v>2354</v>
      </c>
      <c r="H1195" s="2" t="s">
        <v>3700</v>
      </c>
      <c r="J1195" s="7" t="str">
        <f t="shared" si="225"/>
        <v>Harlingen</v>
      </c>
      <c r="K1195" s="7" t="str">
        <f t="shared" si="226"/>
        <v xml:space="preserve">TX  </v>
      </c>
      <c r="L1195" s="7" t="str">
        <f t="shared" si="221"/>
        <v xml:space="preserve">TX </v>
      </c>
      <c r="M1195" s="7" t="str">
        <f t="shared" si="222"/>
        <v xml:space="preserve">TX </v>
      </c>
      <c r="N1195" s="9">
        <f t="shared" si="227"/>
        <v>26.23</v>
      </c>
      <c r="O1195" s="9">
        <f t="shared" si="228"/>
        <v>97.67</v>
      </c>
    </row>
    <row r="1196" spans="1:15" x14ac:dyDescent="0.2">
      <c r="A1196" s="1" t="s">
        <v>2355</v>
      </c>
      <c r="B1196" s="2">
        <v>29.35</v>
      </c>
      <c r="C1196" s="2">
        <v>99.17</v>
      </c>
      <c r="D1196" s="2" t="s">
        <v>2356</v>
      </c>
      <c r="H1196" s="2" t="s">
        <v>3701</v>
      </c>
      <c r="J1196" s="7" t="str">
        <f t="shared" si="225"/>
        <v>Hondo</v>
      </c>
      <c r="K1196" s="7" t="str">
        <f t="shared" si="226"/>
        <v xml:space="preserve">TX  </v>
      </c>
      <c r="L1196" s="7" t="str">
        <f t="shared" si="221"/>
        <v xml:space="preserve">TX </v>
      </c>
      <c r="M1196" s="7" t="str">
        <f t="shared" si="222"/>
        <v xml:space="preserve">TX </v>
      </c>
      <c r="N1196" s="9">
        <f t="shared" si="227"/>
        <v>29.35</v>
      </c>
      <c r="O1196" s="9">
        <f t="shared" si="228"/>
        <v>99.17</v>
      </c>
    </row>
    <row r="1197" spans="1:15" x14ac:dyDescent="0.2">
      <c r="A1197" s="1" t="s">
        <v>2357</v>
      </c>
      <c r="B1197" s="2">
        <v>29.97</v>
      </c>
      <c r="C1197" s="2">
        <v>95.35</v>
      </c>
      <c r="D1197" s="2" t="s">
        <v>2358</v>
      </c>
      <c r="H1197" s="2" t="s">
        <v>3702</v>
      </c>
      <c r="J1197" s="7" t="str">
        <f t="shared" si="225"/>
        <v>Houston</v>
      </c>
      <c r="K1197" s="7" t="str">
        <f t="shared" si="226"/>
        <v xml:space="preserve">TX  </v>
      </c>
      <c r="L1197" s="7" t="str">
        <f t="shared" si="221"/>
        <v xml:space="preserve">TX </v>
      </c>
      <c r="M1197" s="7" t="str">
        <f t="shared" si="222"/>
        <v xml:space="preserve">TX </v>
      </c>
      <c r="N1197" s="9">
        <f t="shared" si="227"/>
        <v>29.97</v>
      </c>
      <c r="O1197" s="9">
        <f t="shared" si="228"/>
        <v>95.35</v>
      </c>
    </row>
    <row r="1198" spans="1:15" x14ac:dyDescent="0.2">
      <c r="A1198" s="1" t="s">
        <v>2359</v>
      </c>
      <c r="B1198" s="2">
        <v>29.65</v>
      </c>
      <c r="C1198" s="2">
        <v>95.28</v>
      </c>
      <c r="D1198" s="2" t="s">
        <v>2360</v>
      </c>
      <c r="H1198" s="2" t="s">
        <v>3703</v>
      </c>
      <c r="J1198" s="7" t="str">
        <f t="shared" si="225"/>
        <v>Houston/Hobby</v>
      </c>
      <c r="K1198" s="7" t="str">
        <f t="shared" si="226"/>
        <v xml:space="preserve">TX  </v>
      </c>
      <c r="L1198" s="7" t="str">
        <f t="shared" si="221"/>
        <v xml:space="preserve">TX </v>
      </c>
      <c r="M1198" s="7" t="str">
        <f t="shared" si="222"/>
        <v xml:space="preserve">TX </v>
      </c>
      <c r="N1198" s="9">
        <f t="shared" si="227"/>
        <v>29.65</v>
      </c>
      <c r="O1198" s="9">
        <f t="shared" si="228"/>
        <v>95.28</v>
      </c>
    </row>
    <row r="1199" spans="1:15" x14ac:dyDescent="0.2">
      <c r="A1199" s="1" t="s">
        <v>2361</v>
      </c>
      <c r="B1199" s="2">
        <v>30.5</v>
      </c>
      <c r="C1199" s="2">
        <v>99.77</v>
      </c>
      <c r="D1199" s="2" t="s">
        <v>2362</v>
      </c>
      <c r="H1199" s="2" t="s">
        <v>3704</v>
      </c>
      <c r="J1199" s="7" t="str">
        <f t="shared" si="225"/>
        <v>Junction</v>
      </c>
      <c r="K1199" s="7" t="str">
        <f t="shared" si="226"/>
        <v xml:space="preserve">TX  </v>
      </c>
      <c r="L1199" s="7" t="str">
        <f t="shared" si="221"/>
        <v xml:space="preserve">TX </v>
      </c>
      <c r="M1199" s="7" t="str">
        <f t="shared" si="222"/>
        <v xml:space="preserve">TX </v>
      </c>
      <c r="N1199" s="9">
        <f t="shared" si="227"/>
        <v>30.5</v>
      </c>
      <c r="O1199" s="9">
        <f t="shared" si="228"/>
        <v>99.77</v>
      </c>
    </row>
    <row r="1200" spans="1:15" x14ac:dyDescent="0.2">
      <c r="A1200" s="1" t="s">
        <v>2363</v>
      </c>
      <c r="B1200" s="2">
        <v>29.38</v>
      </c>
      <c r="C1200" s="2">
        <v>98.58</v>
      </c>
      <c r="D1200" s="2" t="s">
        <v>2364</v>
      </c>
      <c r="E1200" s="2" t="s">
        <v>2300</v>
      </c>
      <c r="H1200" s="2" t="s">
        <v>3705</v>
      </c>
      <c r="J1200" s="7" t="str">
        <f t="shared" si="225"/>
        <v>Kelly AF</v>
      </c>
      <c r="K1200" s="7" t="str">
        <f t="shared" si="226"/>
        <v xml:space="preserve">,TX </v>
      </c>
      <c r="L1200" s="7" t="str">
        <f t="shared" si="221"/>
        <v>,TX</v>
      </c>
      <c r="M1200" s="7" t="str">
        <f t="shared" si="222"/>
        <v>TX</v>
      </c>
      <c r="N1200" s="9">
        <f t="shared" si="227"/>
        <v>29.38</v>
      </c>
      <c r="O1200" s="9">
        <f t="shared" si="228"/>
        <v>98.58</v>
      </c>
    </row>
    <row r="1201" spans="1:15" x14ac:dyDescent="0.2">
      <c r="A1201" s="1" t="s">
        <v>2365</v>
      </c>
      <c r="B1201" s="2">
        <v>29.98</v>
      </c>
      <c r="C1201" s="2">
        <v>99.08</v>
      </c>
      <c r="D1201" s="2" t="s">
        <v>2366</v>
      </c>
      <c r="H1201" s="2" t="s">
        <v>3706</v>
      </c>
      <c r="J1201" s="7" t="str">
        <f t="shared" si="225"/>
        <v>Kerrville</v>
      </c>
      <c r="K1201" s="7" t="str">
        <f t="shared" si="226"/>
        <v xml:space="preserve">TX  </v>
      </c>
      <c r="L1201" s="7" t="str">
        <f t="shared" si="221"/>
        <v xml:space="preserve">TX </v>
      </c>
      <c r="M1201" s="7" t="str">
        <f t="shared" si="222"/>
        <v xml:space="preserve">TX </v>
      </c>
      <c r="N1201" s="9">
        <f t="shared" si="227"/>
        <v>29.98</v>
      </c>
      <c r="O1201" s="9">
        <f t="shared" si="228"/>
        <v>99.08</v>
      </c>
    </row>
    <row r="1202" spans="1:15" x14ac:dyDescent="0.2">
      <c r="A1202" s="1" t="s">
        <v>2367</v>
      </c>
      <c r="B1202" s="2">
        <v>31.08</v>
      </c>
      <c r="C1202" s="2">
        <v>97.68</v>
      </c>
      <c r="D1202" s="2" t="s">
        <v>2368</v>
      </c>
      <c r="H1202" s="2" t="s">
        <v>3707</v>
      </c>
      <c r="J1202" s="7" t="str">
        <f t="shared" si="225"/>
        <v>Killeen</v>
      </c>
      <c r="K1202" s="7" t="str">
        <f t="shared" si="226"/>
        <v xml:space="preserve">TX  </v>
      </c>
      <c r="L1202" s="7" t="str">
        <f t="shared" si="221"/>
        <v xml:space="preserve">TX </v>
      </c>
      <c r="M1202" s="7" t="str">
        <f t="shared" si="222"/>
        <v xml:space="preserve">TX </v>
      </c>
      <c r="N1202" s="9">
        <f t="shared" si="227"/>
        <v>31.08</v>
      </c>
      <c r="O1202" s="9">
        <f t="shared" si="228"/>
        <v>97.68</v>
      </c>
    </row>
    <row r="1203" spans="1:15" x14ac:dyDescent="0.2">
      <c r="A1203" s="1" t="s">
        <v>2369</v>
      </c>
      <c r="B1203" s="2">
        <v>27.5</v>
      </c>
      <c r="C1203" s="2">
        <v>97.82</v>
      </c>
      <c r="D1203" s="2" t="s">
        <v>2370</v>
      </c>
      <c r="H1203" s="2" t="s">
        <v>3708</v>
      </c>
      <c r="J1203" s="7" t="str">
        <f t="shared" si="225"/>
        <v>Kingsville</v>
      </c>
      <c r="K1203" s="7" t="str">
        <f t="shared" si="226"/>
        <v xml:space="preserve">TX  </v>
      </c>
      <c r="L1203" s="7" t="str">
        <f t="shared" si="221"/>
        <v xml:space="preserve">TX </v>
      </c>
      <c r="M1203" s="7" t="str">
        <f t="shared" si="222"/>
        <v xml:space="preserve">TX </v>
      </c>
      <c r="N1203" s="9">
        <f t="shared" si="227"/>
        <v>27.5</v>
      </c>
      <c r="O1203" s="9">
        <f t="shared" si="228"/>
        <v>97.82</v>
      </c>
    </row>
    <row r="1204" spans="1:15" x14ac:dyDescent="0.2">
      <c r="A1204" s="1" t="s">
        <v>2371</v>
      </c>
      <c r="B1204" s="2">
        <v>27.53</v>
      </c>
      <c r="C1204" s="2">
        <v>99.47</v>
      </c>
      <c r="D1204" s="2" t="s">
        <v>2372</v>
      </c>
      <c r="E1204" s="2" t="s">
        <v>2373</v>
      </c>
      <c r="H1204" s="2" t="s">
        <v>3709</v>
      </c>
      <c r="J1204" s="7" t="str">
        <f t="shared" si="225"/>
        <v>Laredo Int</v>
      </c>
      <c r="K1204" s="7" t="str">
        <f t="shared" si="226"/>
        <v xml:space="preserve">,TX </v>
      </c>
      <c r="L1204" s="7" t="str">
        <f t="shared" si="221"/>
        <v>,TX</v>
      </c>
      <c r="M1204" s="7" t="str">
        <f t="shared" si="222"/>
        <v>TX</v>
      </c>
      <c r="N1204" s="9">
        <f t="shared" si="227"/>
        <v>27.53</v>
      </c>
      <c r="O1204" s="9">
        <f t="shared" si="228"/>
        <v>99.47</v>
      </c>
    </row>
    <row r="1205" spans="1:15" x14ac:dyDescent="0.2">
      <c r="A1205" s="1" t="s">
        <v>2374</v>
      </c>
      <c r="B1205" s="2">
        <v>29.37</v>
      </c>
      <c r="C1205" s="2">
        <v>100.78</v>
      </c>
      <c r="D1205" s="2" t="s">
        <v>2375</v>
      </c>
      <c r="E1205" s="2" t="s">
        <v>2300</v>
      </c>
      <c r="H1205" s="2" t="s">
        <v>3710</v>
      </c>
      <c r="J1205" s="7" t="str">
        <f t="shared" si="225"/>
        <v>Laughlin AF</v>
      </c>
      <c r="K1205" s="7" t="str">
        <f t="shared" si="226"/>
        <v xml:space="preserve">,TX </v>
      </c>
      <c r="L1205" s="7" t="str">
        <f t="shared" si="221"/>
        <v>,TX</v>
      </c>
      <c r="M1205" s="7" t="str">
        <f t="shared" si="222"/>
        <v>TX</v>
      </c>
      <c r="N1205" s="9">
        <f t="shared" si="227"/>
        <v>29.37</v>
      </c>
      <c r="O1205" s="9">
        <f t="shared" si="228"/>
        <v>100.78</v>
      </c>
    </row>
    <row r="1206" spans="1:15" x14ac:dyDescent="0.2">
      <c r="A1206" s="1" t="s">
        <v>2376</v>
      </c>
      <c r="B1206" s="2">
        <v>32.380000000000003</v>
      </c>
      <c r="C1206" s="2">
        <v>94.72</v>
      </c>
      <c r="D1206" s="2" t="s">
        <v>2377</v>
      </c>
      <c r="H1206" s="2" t="s">
        <v>3711</v>
      </c>
      <c r="J1206" s="7" t="str">
        <f t="shared" si="225"/>
        <v>Longview</v>
      </c>
      <c r="K1206" s="7" t="str">
        <f t="shared" si="226"/>
        <v xml:space="preserve">TX  </v>
      </c>
      <c r="L1206" s="7" t="str">
        <f t="shared" si="221"/>
        <v xml:space="preserve">TX </v>
      </c>
      <c r="M1206" s="7" t="str">
        <f t="shared" si="222"/>
        <v xml:space="preserve">TX </v>
      </c>
      <c r="N1206" s="9">
        <f t="shared" si="227"/>
        <v>32.380000000000003</v>
      </c>
      <c r="O1206" s="9">
        <f t="shared" si="228"/>
        <v>94.72</v>
      </c>
    </row>
    <row r="1207" spans="1:15" x14ac:dyDescent="0.2">
      <c r="A1207" s="1" t="s">
        <v>2378</v>
      </c>
      <c r="B1207" s="2">
        <v>33.65</v>
      </c>
      <c r="C1207" s="2">
        <v>101.82</v>
      </c>
      <c r="D1207" s="2" t="s">
        <v>2379</v>
      </c>
      <c r="H1207" s="2" t="s">
        <v>3712</v>
      </c>
      <c r="J1207" s="7" t="str">
        <f t="shared" si="225"/>
        <v>Lubbock</v>
      </c>
      <c r="K1207" s="7" t="str">
        <f t="shared" si="226"/>
        <v xml:space="preserve">TX  </v>
      </c>
      <c r="L1207" s="7" t="str">
        <f t="shared" si="221"/>
        <v xml:space="preserve">TX </v>
      </c>
      <c r="M1207" s="7" t="str">
        <f t="shared" si="222"/>
        <v xml:space="preserve">TX </v>
      </c>
      <c r="N1207" s="9">
        <f t="shared" si="227"/>
        <v>33.65</v>
      </c>
      <c r="O1207" s="9">
        <f t="shared" si="228"/>
        <v>101.82</v>
      </c>
    </row>
    <row r="1208" spans="1:15" x14ac:dyDescent="0.2">
      <c r="A1208" s="1" t="s">
        <v>2380</v>
      </c>
      <c r="B1208" s="2">
        <v>31.23</v>
      </c>
      <c r="C1208" s="2">
        <v>94.75</v>
      </c>
      <c r="D1208" s="2" t="s">
        <v>2381</v>
      </c>
      <c r="H1208" s="2" t="s">
        <v>3713</v>
      </c>
      <c r="J1208" s="7" t="str">
        <f t="shared" si="225"/>
        <v>Lufkin</v>
      </c>
      <c r="K1208" s="7" t="str">
        <f t="shared" si="226"/>
        <v xml:space="preserve">TX  </v>
      </c>
      <c r="L1208" s="7" t="str">
        <f t="shared" si="221"/>
        <v xml:space="preserve">TX </v>
      </c>
      <c r="M1208" s="7" t="str">
        <f t="shared" si="222"/>
        <v xml:space="preserve">TX </v>
      </c>
      <c r="N1208" s="9">
        <f t="shared" si="227"/>
        <v>31.23</v>
      </c>
      <c r="O1208" s="9">
        <f t="shared" si="228"/>
        <v>94.75</v>
      </c>
    </row>
    <row r="1209" spans="1:15" x14ac:dyDescent="0.2">
      <c r="A1209" s="1" t="s">
        <v>2382</v>
      </c>
      <c r="B1209" s="2">
        <v>30.37</v>
      </c>
      <c r="C1209" s="2">
        <v>104.02</v>
      </c>
      <c r="D1209" s="2" t="s">
        <v>2383</v>
      </c>
      <c r="H1209" s="2" t="s">
        <v>3714</v>
      </c>
      <c r="J1209" s="7" t="str">
        <f t="shared" si="225"/>
        <v>Marfa</v>
      </c>
      <c r="K1209" s="7" t="str">
        <f t="shared" si="226"/>
        <v xml:space="preserve">TX  </v>
      </c>
      <c r="L1209" s="7" t="str">
        <f t="shared" si="221"/>
        <v xml:space="preserve">TX </v>
      </c>
      <c r="M1209" s="7" t="str">
        <f t="shared" si="222"/>
        <v xml:space="preserve">TX </v>
      </c>
      <c r="N1209" s="9">
        <f t="shared" si="227"/>
        <v>30.37</v>
      </c>
      <c r="O1209" s="9">
        <f t="shared" si="228"/>
        <v>104.02</v>
      </c>
    </row>
    <row r="1210" spans="1:15" x14ac:dyDescent="0.2">
      <c r="A1210" s="1" t="s">
        <v>2384</v>
      </c>
      <c r="B1210" s="2">
        <v>26.18</v>
      </c>
      <c r="C1210" s="2">
        <v>98.23</v>
      </c>
      <c r="D1210" s="2" t="s">
        <v>2385</v>
      </c>
      <c r="H1210" s="2" t="s">
        <v>3715</v>
      </c>
      <c r="J1210" s="7" t="str">
        <f t="shared" si="225"/>
        <v>Mcallen</v>
      </c>
      <c r="K1210" s="7" t="str">
        <f t="shared" si="226"/>
        <v xml:space="preserve">TX  </v>
      </c>
      <c r="L1210" s="7" t="str">
        <f t="shared" si="221"/>
        <v xml:space="preserve">TX </v>
      </c>
      <c r="M1210" s="7" t="str">
        <f t="shared" si="222"/>
        <v xml:space="preserve">TX </v>
      </c>
      <c r="N1210" s="9">
        <f t="shared" si="227"/>
        <v>26.18</v>
      </c>
      <c r="O1210" s="9">
        <f t="shared" si="228"/>
        <v>98.23</v>
      </c>
    </row>
    <row r="1211" spans="1:15" x14ac:dyDescent="0.2">
      <c r="A1211" s="1" t="s">
        <v>2386</v>
      </c>
      <c r="B1211" s="2">
        <v>31.95</v>
      </c>
      <c r="C1211" s="2">
        <v>102.18</v>
      </c>
      <c r="D1211" s="2" t="s">
        <v>2387</v>
      </c>
      <c r="H1211" s="2" t="s">
        <v>3716</v>
      </c>
      <c r="J1211" s="7" t="str">
        <f t="shared" si="225"/>
        <v>Midland</v>
      </c>
      <c r="K1211" s="7" t="str">
        <f t="shared" si="226"/>
        <v xml:space="preserve">TX  </v>
      </c>
      <c r="L1211" s="7" t="str">
        <f t="shared" si="221"/>
        <v xml:space="preserve">TX </v>
      </c>
      <c r="M1211" s="7" t="str">
        <f t="shared" si="222"/>
        <v xml:space="preserve">TX </v>
      </c>
      <c r="N1211" s="9">
        <f t="shared" si="227"/>
        <v>31.95</v>
      </c>
      <c r="O1211" s="9">
        <f t="shared" si="228"/>
        <v>102.18</v>
      </c>
    </row>
    <row r="1212" spans="1:15" x14ac:dyDescent="0.2">
      <c r="A1212" s="1" t="s">
        <v>2388</v>
      </c>
      <c r="B1212" s="2">
        <v>32.78</v>
      </c>
      <c r="C1212" s="2">
        <v>98.07</v>
      </c>
      <c r="D1212" s="2" t="s">
        <v>2389</v>
      </c>
      <c r="E1212" s="2" t="s">
        <v>2390</v>
      </c>
      <c r="H1212" s="2" t="s">
        <v>3717</v>
      </c>
      <c r="J1212" s="7" t="str">
        <f t="shared" si="225"/>
        <v>Mineral Wll</v>
      </c>
      <c r="K1212" s="7" t="str">
        <f t="shared" si="226"/>
        <v xml:space="preserve">,TX </v>
      </c>
      <c r="L1212" s="7" t="str">
        <f t="shared" si="221"/>
        <v>,TX</v>
      </c>
      <c r="M1212" s="7" t="str">
        <f t="shared" si="222"/>
        <v>TX</v>
      </c>
      <c r="N1212" s="9">
        <f t="shared" si="227"/>
        <v>32.78</v>
      </c>
      <c r="O1212" s="9">
        <f t="shared" si="228"/>
        <v>98.07</v>
      </c>
    </row>
    <row r="1213" spans="1:15" x14ac:dyDescent="0.2">
      <c r="A1213" s="1" t="s">
        <v>2391</v>
      </c>
      <c r="B1213" s="2">
        <v>28.72</v>
      </c>
      <c r="C1213" s="2">
        <v>96.25</v>
      </c>
      <c r="D1213" s="2" t="s">
        <v>2392</v>
      </c>
      <c r="H1213" s="2" t="s">
        <v>3718</v>
      </c>
      <c r="J1213" s="7" t="str">
        <f t="shared" si="225"/>
        <v>Palacios</v>
      </c>
      <c r="K1213" s="7" t="str">
        <f t="shared" si="226"/>
        <v xml:space="preserve">TX  </v>
      </c>
      <c r="L1213" s="7" t="str">
        <f t="shared" si="221"/>
        <v xml:space="preserve">TX </v>
      </c>
      <c r="M1213" s="7" t="str">
        <f t="shared" si="222"/>
        <v xml:space="preserve">TX </v>
      </c>
      <c r="N1213" s="9">
        <f t="shared" si="227"/>
        <v>28.72</v>
      </c>
      <c r="O1213" s="9">
        <f t="shared" si="228"/>
        <v>96.25</v>
      </c>
    </row>
    <row r="1214" spans="1:15" x14ac:dyDescent="0.2">
      <c r="A1214" s="1" t="s">
        <v>2393</v>
      </c>
      <c r="B1214" s="2">
        <v>33.630000000000003</v>
      </c>
      <c r="C1214" s="2">
        <v>95.45</v>
      </c>
      <c r="D1214" s="2" t="s">
        <v>2394</v>
      </c>
      <c r="H1214" s="2" t="s">
        <v>3719</v>
      </c>
      <c r="J1214" s="7" t="str">
        <f t="shared" si="225"/>
        <v>Paris/Cox</v>
      </c>
      <c r="K1214" s="7" t="str">
        <f t="shared" si="226"/>
        <v xml:space="preserve">TX  </v>
      </c>
      <c r="L1214" s="7" t="str">
        <f t="shared" si="221"/>
        <v xml:space="preserve">TX </v>
      </c>
      <c r="M1214" s="7" t="str">
        <f t="shared" si="222"/>
        <v xml:space="preserve">TX </v>
      </c>
      <c r="N1214" s="9">
        <f t="shared" si="227"/>
        <v>33.630000000000003</v>
      </c>
      <c r="O1214" s="9">
        <f t="shared" si="228"/>
        <v>95.45</v>
      </c>
    </row>
    <row r="1215" spans="1:15" x14ac:dyDescent="0.2">
      <c r="A1215" s="1" t="s">
        <v>2395</v>
      </c>
      <c r="B1215" s="2">
        <v>34.17</v>
      </c>
      <c r="C1215" s="2">
        <v>101.71</v>
      </c>
      <c r="D1215" s="2" t="s">
        <v>2396</v>
      </c>
      <c r="H1215" s="2" t="s">
        <v>3720</v>
      </c>
      <c r="J1215" s="7" t="str">
        <f t="shared" si="225"/>
        <v>Plainview</v>
      </c>
      <c r="K1215" s="7" t="str">
        <f t="shared" si="226"/>
        <v xml:space="preserve">TX  </v>
      </c>
      <c r="L1215" s="7" t="str">
        <f t="shared" si="221"/>
        <v xml:space="preserve">TX </v>
      </c>
      <c r="M1215" s="7" t="str">
        <f t="shared" si="222"/>
        <v xml:space="preserve">TX </v>
      </c>
      <c r="N1215" s="9">
        <f t="shared" si="227"/>
        <v>34.17</v>
      </c>
      <c r="O1215" s="9">
        <f t="shared" si="228"/>
        <v>101.71</v>
      </c>
    </row>
    <row r="1216" spans="1:15" x14ac:dyDescent="0.2">
      <c r="A1216" s="1" t="s">
        <v>2397</v>
      </c>
      <c r="B1216" s="2">
        <v>30.58</v>
      </c>
      <c r="C1216" s="2">
        <v>94.02</v>
      </c>
      <c r="D1216" s="2" t="s">
        <v>268</v>
      </c>
      <c r="E1216" s="2" t="s">
        <v>2398</v>
      </c>
      <c r="H1216" s="2" t="s">
        <v>3721</v>
      </c>
      <c r="J1216" s="7" t="str">
        <f t="shared" si="225"/>
        <v>Port Arthu</v>
      </c>
      <c r="K1216" s="7" t="str">
        <f t="shared" si="226"/>
        <v xml:space="preserve">,TX </v>
      </c>
      <c r="L1216" s="7" t="str">
        <f t="shared" si="221"/>
        <v>,TX</v>
      </c>
      <c r="M1216" s="7" t="str">
        <f t="shared" si="222"/>
        <v>TX</v>
      </c>
      <c r="N1216" s="9">
        <f t="shared" si="227"/>
        <v>30.58</v>
      </c>
      <c r="O1216" s="9">
        <f t="shared" si="228"/>
        <v>94.02</v>
      </c>
    </row>
    <row r="1217" spans="1:15" x14ac:dyDescent="0.2">
      <c r="A1217" s="1" t="s">
        <v>2399</v>
      </c>
      <c r="B1217" s="2">
        <v>29.53</v>
      </c>
      <c r="C1217" s="2">
        <v>98.28</v>
      </c>
      <c r="D1217" s="2" t="s">
        <v>2400</v>
      </c>
      <c r="E1217" s="2" t="s">
        <v>2300</v>
      </c>
      <c r="H1217" s="2" t="s">
        <v>3722</v>
      </c>
      <c r="J1217" s="7" t="str">
        <f t="shared" si="225"/>
        <v>Randolph AF</v>
      </c>
      <c r="K1217" s="7" t="str">
        <f t="shared" si="226"/>
        <v xml:space="preserve">,TX </v>
      </c>
      <c r="L1217" s="7" t="str">
        <f t="shared" si="221"/>
        <v>,TX</v>
      </c>
      <c r="M1217" s="7" t="str">
        <f t="shared" si="222"/>
        <v>TX</v>
      </c>
      <c r="N1217" s="9">
        <f t="shared" si="227"/>
        <v>29.53</v>
      </c>
      <c r="O1217" s="9">
        <f t="shared" si="228"/>
        <v>98.28</v>
      </c>
    </row>
    <row r="1218" spans="1:15" x14ac:dyDescent="0.2">
      <c r="A1218" s="1" t="s">
        <v>2401</v>
      </c>
      <c r="B1218" s="2">
        <v>33.6</v>
      </c>
      <c r="C1218" s="2">
        <v>102.05</v>
      </c>
      <c r="D1218" s="2" t="s">
        <v>2402</v>
      </c>
      <c r="E1218" s="2" t="s">
        <v>2300</v>
      </c>
      <c r="H1218" s="2" t="s">
        <v>3723</v>
      </c>
      <c r="J1218" s="7" t="str">
        <f t="shared" si="225"/>
        <v>Reese AF</v>
      </c>
      <c r="K1218" s="7" t="str">
        <f t="shared" si="226"/>
        <v xml:space="preserve">,TX </v>
      </c>
      <c r="L1218" s="7" t="str">
        <f t="shared" si="221"/>
        <v>,TX</v>
      </c>
      <c r="M1218" s="7" t="str">
        <f t="shared" si="222"/>
        <v>TX</v>
      </c>
      <c r="N1218" s="9">
        <f t="shared" si="227"/>
        <v>33.6</v>
      </c>
      <c r="O1218" s="9">
        <f t="shared" si="228"/>
        <v>102.05</v>
      </c>
    </row>
    <row r="1219" spans="1:15" x14ac:dyDescent="0.2">
      <c r="A1219" s="1" t="s">
        <v>2403</v>
      </c>
      <c r="B1219" s="2">
        <v>28.08</v>
      </c>
      <c r="C1219" s="2">
        <v>97.03</v>
      </c>
      <c r="D1219" s="2" t="s">
        <v>2404</v>
      </c>
      <c r="H1219" s="2" t="s">
        <v>3724</v>
      </c>
      <c r="J1219" s="7" t="str">
        <f t="shared" si="225"/>
        <v>Rockport</v>
      </c>
      <c r="K1219" s="7" t="str">
        <f t="shared" si="226"/>
        <v xml:space="preserve">TX  </v>
      </c>
      <c r="L1219" s="7" t="str">
        <f t="shared" si="221"/>
        <v xml:space="preserve">TX </v>
      </c>
      <c r="M1219" s="7" t="str">
        <f t="shared" si="222"/>
        <v xml:space="preserve">TX </v>
      </c>
      <c r="N1219" s="9">
        <f t="shared" si="227"/>
        <v>28.08</v>
      </c>
      <c r="O1219" s="9">
        <f t="shared" si="228"/>
        <v>97.03</v>
      </c>
    </row>
    <row r="1220" spans="1:15" x14ac:dyDescent="0.2">
      <c r="A1220" s="1" t="s">
        <v>2405</v>
      </c>
      <c r="B1220" s="2">
        <v>31.37</v>
      </c>
      <c r="C1220" s="2">
        <v>100.5</v>
      </c>
      <c r="D1220" s="2" t="s">
        <v>607</v>
      </c>
      <c r="E1220" s="2" t="s">
        <v>2406</v>
      </c>
      <c r="H1220" s="2" t="s">
        <v>3725</v>
      </c>
      <c r="J1220" s="7" t="str">
        <f t="shared" si="225"/>
        <v>San Angel</v>
      </c>
      <c r="K1220" s="7" t="str">
        <f t="shared" si="226"/>
        <v xml:space="preserve">,TX </v>
      </c>
      <c r="L1220" s="7" t="str">
        <f t="shared" si="221"/>
        <v>,TX</v>
      </c>
      <c r="M1220" s="7" t="str">
        <f t="shared" si="222"/>
        <v>TX</v>
      </c>
      <c r="N1220" s="9">
        <f t="shared" si="227"/>
        <v>31.37</v>
      </c>
      <c r="O1220" s="9">
        <f t="shared" si="228"/>
        <v>100.5</v>
      </c>
    </row>
    <row r="1221" spans="1:15" x14ac:dyDescent="0.2">
      <c r="A1221" s="1" t="s">
        <v>2407</v>
      </c>
      <c r="B1221" s="2">
        <v>29.53</v>
      </c>
      <c r="C1221" s="2">
        <v>98.47</v>
      </c>
      <c r="D1221" s="2" t="s">
        <v>607</v>
      </c>
      <c r="E1221" s="2" t="s">
        <v>2408</v>
      </c>
      <c r="H1221" s="2" t="s">
        <v>3875</v>
      </c>
      <c r="J1221" s="7" t="str">
        <f t="shared" si="225"/>
        <v>San Antonio</v>
      </c>
      <c r="K1221" s="7" t="str">
        <f t="shared" si="226"/>
        <v xml:space="preserve">TX  </v>
      </c>
      <c r="L1221" s="7" t="str">
        <f t="shared" si="221"/>
        <v xml:space="preserve">TX </v>
      </c>
      <c r="M1221" s="7" t="str">
        <f t="shared" si="222"/>
        <v xml:space="preserve">TX </v>
      </c>
      <c r="N1221" s="9">
        <f t="shared" si="227"/>
        <v>29.53</v>
      </c>
      <c r="O1221" s="9">
        <f t="shared" si="228"/>
        <v>98.47</v>
      </c>
    </row>
    <row r="1222" spans="1:15" x14ac:dyDescent="0.2">
      <c r="A1222" s="1" t="s">
        <v>2409</v>
      </c>
      <c r="B1222" s="2">
        <v>29.33</v>
      </c>
      <c r="C1222" s="2">
        <v>98.47</v>
      </c>
      <c r="D1222" s="2" t="s">
        <v>607</v>
      </c>
      <c r="E1222" s="2" t="s">
        <v>2408</v>
      </c>
      <c r="H1222" s="2" t="s">
        <v>3726</v>
      </c>
      <c r="J1222" s="7" t="str">
        <f t="shared" si="225"/>
        <v>San Antoni</v>
      </c>
      <c r="K1222" s="7" t="str">
        <f t="shared" si="226"/>
        <v xml:space="preserve">,TX </v>
      </c>
      <c r="L1222" s="7" t="str">
        <f t="shared" si="221"/>
        <v>,TX</v>
      </c>
      <c r="M1222" s="7" t="str">
        <f t="shared" si="222"/>
        <v>TX</v>
      </c>
      <c r="N1222" s="9">
        <f t="shared" si="227"/>
        <v>29.33</v>
      </c>
      <c r="O1222" s="9">
        <f t="shared" si="228"/>
        <v>98.47</v>
      </c>
    </row>
    <row r="1223" spans="1:15" x14ac:dyDescent="0.2">
      <c r="A1223" s="1" t="s">
        <v>2410</v>
      </c>
      <c r="B1223" s="2">
        <v>30.17</v>
      </c>
      <c r="C1223" s="2">
        <v>102.42</v>
      </c>
      <c r="D1223" s="2" t="s">
        <v>2411</v>
      </c>
      <c r="H1223" s="2" t="s">
        <v>3727</v>
      </c>
      <c r="J1223" s="7" t="str">
        <f t="shared" si="225"/>
        <v>Sanderson</v>
      </c>
      <c r="K1223" s="7" t="str">
        <f t="shared" si="226"/>
        <v xml:space="preserve">TX  </v>
      </c>
      <c r="L1223" s="7" t="str">
        <f t="shared" si="221"/>
        <v xml:space="preserve">TX </v>
      </c>
      <c r="M1223" s="7" t="str">
        <f t="shared" si="222"/>
        <v xml:space="preserve">TX </v>
      </c>
      <c r="N1223" s="9">
        <f t="shared" si="227"/>
        <v>30.17</v>
      </c>
      <c r="O1223" s="9">
        <f t="shared" si="228"/>
        <v>102.42</v>
      </c>
    </row>
    <row r="1224" spans="1:15" x14ac:dyDescent="0.2">
      <c r="A1224" s="1" t="s">
        <v>2412</v>
      </c>
      <c r="B1224" s="2">
        <v>33.72</v>
      </c>
      <c r="C1224" s="2">
        <v>96.67</v>
      </c>
      <c r="D1224" s="2" t="s">
        <v>2413</v>
      </c>
      <c r="H1224" s="2" t="s">
        <v>3728</v>
      </c>
      <c r="J1224" s="7" t="str">
        <f t="shared" si="225"/>
        <v>Sherman-Deni</v>
      </c>
      <c r="K1224" s="7" t="str">
        <f t="shared" si="226"/>
        <v xml:space="preserve">TX  </v>
      </c>
      <c r="L1224" s="7" t="str">
        <f t="shared" si="221"/>
        <v xml:space="preserve">TX </v>
      </c>
      <c r="M1224" s="7" t="str">
        <f t="shared" si="222"/>
        <v xml:space="preserve">TX </v>
      </c>
      <c r="N1224" s="9">
        <f t="shared" si="227"/>
        <v>33.72</v>
      </c>
      <c r="O1224" s="9">
        <f t="shared" si="228"/>
        <v>96.67</v>
      </c>
    </row>
    <row r="1225" spans="1:15" x14ac:dyDescent="0.2">
      <c r="A1225" s="1" t="s">
        <v>2414</v>
      </c>
      <c r="B1225" s="2">
        <v>28.03</v>
      </c>
      <c r="C1225" s="2">
        <v>95.87</v>
      </c>
      <c r="D1225" s="2" t="s">
        <v>54</v>
      </c>
      <c r="E1225" s="2" t="s">
        <v>2415</v>
      </c>
      <c r="H1225" s="2" t="s">
        <v>3729</v>
      </c>
      <c r="J1225" s="7" t="str">
        <f t="shared" si="225"/>
        <v>South Brazo</v>
      </c>
      <c r="K1225" s="7" t="str">
        <f t="shared" si="226"/>
        <v xml:space="preserve">,TX </v>
      </c>
      <c r="L1225" s="7" t="str">
        <f t="shared" si="221"/>
        <v>,TX</v>
      </c>
      <c r="M1225" s="7" t="str">
        <f t="shared" si="222"/>
        <v>TX</v>
      </c>
      <c r="N1225" s="9">
        <f t="shared" si="227"/>
        <v>28.03</v>
      </c>
      <c r="O1225" s="9">
        <f t="shared" si="228"/>
        <v>95.87</v>
      </c>
    </row>
    <row r="1226" spans="1:15" x14ac:dyDescent="0.2">
      <c r="A1226" s="1" t="s">
        <v>2416</v>
      </c>
      <c r="B1226" s="2">
        <v>32.22</v>
      </c>
      <c r="C1226" s="2">
        <v>98.18</v>
      </c>
      <c r="D1226" s="2" t="s">
        <v>2417</v>
      </c>
      <c r="H1226" s="2" t="s">
        <v>3730</v>
      </c>
      <c r="J1226" s="7" t="str">
        <f t="shared" si="225"/>
        <v>Stephenville</v>
      </c>
      <c r="K1226" s="7" t="str">
        <f t="shared" si="226"/>
        <v xml:space="preserve">TX  </v>
      </c>
      <c r="L1226" s="7" t="str">
        <f t="shared" ref="L1226:L1232" si="229">LEFT(K1226,LEN(K1226)-1)</f>
        <v xml:space="preserve">TX </v>
      </c>
      <c r="M1226" s="7" t="str">
        <f t="shared" ref="M1226:M1232" si="230">SUBSTITUTE(L1226,",","")</f>
        <v xml:space="preserve">TX </v>
      </c>
      <c r="N1226" s="9">
        <f t="shared" ref="N1226:N1232" si="231">B1226</f>
        <v>32.22</v>
      </c>
      <c r="O1226" s="9">
        <f t="shared" ref="O1226:O1232" si="232">C1226</f>
        <v>98.18</v>
      </c>
    </row>
    <row r="1227" spans="1:15" x14ac:dyDescent="0.2">
      <c r="A1227" s="1" t="s">
        <v>2418</v>
      </c>
      <c r="B1227" s="2">
        <v>31.15</v>
      </c>
      <c r="C1227" s="2">
        <v>97.42</v>
      </c>
      <c r="D1227" s="2" t="s">
        <v>2419</v>
      </c>
      <c r="H1227" s="2" t="s">
        <v>3731</v>
      </c>
      <c r="J1227" s="7" t="str">
        <f t="shared" si="225"/>
        <v>Temple</v>
      </c>
      <c r="K1227" s="7" t="str">
        <f t="shared" si="226"/>
        <v xml:space="preserve">TX  </v>
      </c>
      <c r="L1227" s="7" t="str">
        <f t="shared" si="229"/>
        <v xml:space="preserve">TX </v>
      </c>
      <c r="M1227" s="7" t="str">
        <f t="shared" si="230"/>
        <v xml:space="preserve">TX </v>
      </c>
      <c r="N1227" s="9">
        <f t="shared" si="231"/>
        <v>31.15</v>
      </c>
      <c r="O1227" s="9">
        <f t="shared" si="232"/>
        <v>97.42</v>
      </c>
    </row>
    <row r="1228" spans="1:15" x14ac:dyDescent="0.2">
      <c r="A1228" s="1" t="s">
        <v>2420</v>
      </c>
      <c r="B1228" s="2">
        <v>32.369999999999997</v>
      </c>
      <c r="C1228" s="2">
        <v>95.4</v>
      </c>
      <c r="D1228" s="2" t="s">
        <v>2421</v>
      </c>
      <c r="H1228" s="2" t="s">
        <v>3732</v>
      </c>
      <c r="J1228" s="7" t="str">
        <f t="shared" si="225"/>
        <v>Tyler/Pounds</v>
      </c>
      <c r="K1228" s="7" t="str">
        <f t="shared" si="226"/>
        <v xml:space="preserve">TX  </v>
      </c>
      <c r="L1228" s="7" t="str">
        <f t="shared" si="229"/>
        <v xml:space="preserve">TX </v>
      </c>
      <c r="M1228" s="7" t="str">
        <f t="shared" si="230"/>
        <v xml:space="preserve">TX </v>
      </c>
      <c r="N1228" s="9">
        <f t="shared" si="231"/>
        <v>32.369999999999997</v>
      </c>
      <c r="O1228" s="9">
        <f t="shared" si="232"/>
        <v>95.4</v>
      </c>
    </row>
    <row r="1229" spans="1:15" x14ac:dyDescent="0.2">
      <c r="A1229" s="1" t="s">
        <v>2422</v>
      </c>
      <c r="B1229" s="2">
        <v>28.85</v>
      </c>
      <c r="C1229" s="2">
        <v>96.92</v>
      </c>
      <c r="D1229" s="2" t="s">
        <v>2423</v>
      </c>
      <c r="H1229" s="2" t="s">
        <v>3733</v>
      </c>
      <c r="J1229" s="7" t="str">
        <f t="shared" si="225"/>
        <v>Victoria</v>
      </c>
      <c r="K1229" s="7" t="str">
        <f t="shared" si="226"/>
        <v xml:space="preserve">TX  </v>
      </c>
      <c r="L1229" s="7" t="str">
        <f t="shared" si="229"/>
        <v xml:space="preserve">TX </v>
      </c>
      <c r="M1229" s="7" t="str">
        <f t="shared" si="230"/>
        <v xml:space="preserve">TX </v>
      </c>
      <c r="N1229" s="9">
        <f t="shared" si="231"/>
        <v>28.85</v>
      </c>
      <c r="O1229" s="9">
        <f t="shared" si="232"/>
        <v>96.92</v>
      </c>
    </row>
    <row r="1230" spans="1:15" x14ac:dyDescent="0.2">
      <c r="A1230" s="1" t="s">
        <v>2424</v>
      </c>
      <c r="B1230" s="2">
        <v>31.62</v>
      </c>
      <c r="C1230" s="2">
        <v>97.22</v>
      </c>
      <c r="D1230" s="2" t="s">
        <v>2425</v>
      </c>
      <c r="H1230" s="2" t="s">
        <v>3734</v>
      </c>
      <c r="J1230" s="7" t="str">
        <f t="shared" si="225"/>
        <v>Waco-Madison</v>
      </c>
      <c r="K1230" s="7" t="str">
        <f t="shared" si="226"/>
        <v xml:space="preserve">TX  </v>
      </c>
      <c r="L1230" s="7" t="str">
        <f t="shared" si="229"/>
        <v xml:space="preserve">TX </v>
      </c>
      <c r="M1230" s="7" t="str">
        <f t="shared" si="230"/>
        <v xml:space="preserve">TX </v>
      </c>
      <c r="N1230" s="9">
        <f t="shared" si="231"/>
        <v>31.62</v>
      </c>
      <c r="O1230" s="9">
        <f t="shared" si="232"/>
        <v>97.22</v>
      </c>
    </row>
    <row r="1231" spans="1:15" x14ac:dyDescent="0.2">
      <c r="A1231" s="1" t="s">
        <v>2426</v>
      </c>
      <c r="B1231" s="2">
        <v>33.979999999999997</v>
      </c>
      <c r="C1231" s="2">
        <v>98.5</v>
      </c>
      <c r="D1231" s="2" t="s">
        <v>2427</v>
      </c>
      <c r="E1231" s="2" t="s">
        <v>2428</v>
      </c>
      <c r="H1231" s="2" t="s">
        <v>3735</v>
      </c>
      <c r="J1231" s="7" t="str">
        <f t="shared" si="225"/>
        <v>Wichita Fll</v>
      </c>
      <c r="K1231" s="7" t="str">
        <f t="shared" si="226"/>
        <v xml:space="preserve">,TX </v>
      </c>
      <c r="L1231" s="7" t="str">
        <f t="shared" si="229"/>
        <v>,TX</v>
      </c>
      <c r="M1231" s="7" t="str">
        <f t="shared" si="230"/>
        <v>TX</v>
      </c>
      <c r="N1231" s="9">
        <f t="shared" si="231"/>
        <v>33.979999999999997</v>
      </c>
      <c r="O1231" s="9">
        <f t="shared" si="232"/>
        <v>98.5</v>
      </c>
    </row>
    <row r="1232" spans="1:15" x14ac:dyDescent="0.2">
      <c r="A1232" s="1" t="s">
        <v>2429</v>
      </c>
      <c r="B1232" s="2">
        <v>31.78</v>
      </c>
      <c r="C1232" s="2">
        <v>103.2</v>
      </c>
      <c r="D1232" s="2" t="s">
        <v>2430</v>
      </c>
      <c r="H1232" s="2" t="s">
        <v>3736</v>
      </c>
      <c r="J1232" s="7" t="str">
        <f t="shared" si="225"/>
        <v>Wink</v>
      </c>
      <c r="K1232" s="7" t="str">
        <f t="shared" si="226"/>
        <v xml:space="preserve">TX  </v>
      </c>
      <c r="L1232" s="7" t="str">
        <f t="shared" si="229"/>
        <v xml:space="preserve">TX </v>
      </c>
      <c r="M1232" s="7" t="str">
        <f t="shared" si="230"/>
        <v xml:space="preserve">TX </v>
      </c>
      <c r="N1232" s="9">
        <f t="shared" si="231"/>
        <v>31.78</v>
      </c>
      <c r="O1232" s="9">
        <f t="shared" si="232"/>
        <v>103.2</v>
      </c>
    </row>
    <row r="1233" spans="1:15" x14ac:dyDescent="0.2">
      <c r="A1233" s="4"/>
      <c r="H1233" s="2" t="s">
        <v>2726</v>
      </c>
      <c r="J1233" s="7"/>
      <c r="K1233" s="7"/>
      <c r="L1233" s="7"/>
      <c r="M1233" s="7"/>
      <c r="N1233" s="9"/>
      <c r="O1233" s="9"/>
    </row>
    <row r="1234" spans="1:15" x14ac:dyDescent="0.2">
      <c r="A1234" s="1" t="s">
        <v>35</v>
      </c>
      <c r="H1234" s="2" t="s">
        <v>2726</v>
      </c>
      <c r="J1234" s="7"/>
      <c r="K1234" s="7"/>
      <c r="L1234" s="7"/>
      <c r="M1234" s="7"/>
      <c r="N1234" s="9"/>
      <c r="O1234" s="9"/>
    </row>
    <row r="1235" spans="1:15" x14ac:dyDescent="0.2">
      <c r="A1235" s="4"/>
      <c r="H1235" s="2" t="s">
        <v>2726</v>
      </c>
      <c r="J1235" s="7"/>
      <c r="K1235" s="7"/>
      <c r="L1235" s="7"/>
      <c r="M1235" s="7"/>
      <c r="N1235" s="9"/>
      <c r="O1235" s="9"/>
    </row>
    <row r="1236" spans="1:15" x14ac:dyDescent="0.2">
      <c r="A1236" s="1" t="s">
        <v>2431</v>
      </c>
      <c r="B1236" s="2">
        <v>38.03</v>
      </c>
      <c r="C1236" s="2">
        <v>109.78</v>
      </c>
      <c r="D1236" s="2" t="s">
        <v>2432</v>
      </c>
      <c r="H1236" s="2" t="s">
        <v>3737</v>
      </c>
      <c r="J1236" s="7" t="str">
        <f t="shared" si="225"/>
        <v>Blanding</v>
      </c>
      <c r="K1236" s="7" t="str">
        <f t="shared" si="226"/>
        <v xml:space="preserve">UT  </v>
      </c>
      <c r="L1236" s="7" t="str">
        <f t="shared" ref="L1236:L1256" si="233">LEFT(K1236,LEN(K1236)-1)</f>
        <v xml:space="preserve">UT </v>
      </c>
      <c r="M1236" s="7" t="str">
        <f t="shared" ref="M1236:M1256" si="234">SUBSTITUTE(L1236,",","")</f>
        <v xml:space="preserve">UT </v>
      </c>
      <c r="N1236" s="9">
        <f t="shared" ref="N1236:N1256" si="235">B1236</f>
        <v>38.03</v>
      </c>
      <c r="O1236" s="9">
        <f t="shared" ref="O1236:O1256" si="236">C1236</f>
        <v>109.78</v>
      </c>
    </row>
    <row r="1237" spans="1:15" x14ac:dyDescent="0.2">
      <c r="A1237" s="1" t="s">
        <v>2433</v>
      </c>
      <c r="B1237" s="2">
        <v>37.5</v>
      </c>
      <c r="C1237" s="2">
        <v>110.7</v>
      </c>
      <c r="D1237" s="2" t="s">
        <v>2434</v>
      </c>
      <c r="E1237" s="2" t="s">
        <v>2435</v>
      </c>
      <c r="H1237" s="2" t="s">
        <v>3738</v>
      </c>
      <c r="J1237" s="7" t="str">
        <f t="shared" si="225"/>
        <v>Bullfrog Ma</v>
      </c>
      <c r="K1237" s="7" t="str">
        <f t="shared" si="226"/>
        <v xml:space="preserve">,UT </v>
      </c>
      <c r="L1237" s="7" t="str">
        <f t="shared" si="233"/>
        <v>,UT</v>
      </c>
      <c r="M1237" s="7" t="str">
        <f t="shared" si="234"/>
        <v>UT</v>
      </c>
      <c r="N1237" s="9">
        <f t="shared" si="235"/>
        <v>37.5</v>
      </c>
      <c r="O1237" s="9">
        <f t="shared" si="236"/>
        <v>110.7</v>
      </c>
    </row>
    <row r="1238" spans="1:15" x14ac:dyDescent="0.2">
      <c r="A1238" s="1" t="s">
        <v>2436</v>
      </c>
      <c r="B1238" s="2">
        <v>37.700000000000003</v>
      </c>
      <c r="C1238" s="2">
        <v>113.1</v>
      </c>
      <c r="D1238" s="2" t="s">
        <v>1113</v>
      </c>
      <c r="E1238" s="2" t="s">
        <v>2437</v>
      </c>
      <c r="H1238" s="2" t="s">
        <v>3739</v>
      </c>
      <c r="J1238" s="7" t="str">
        <f t="shared" ref="J1238:J1301" si="237">LEFT(H1238,LEN(H1238)-5)</f>
        <v>Cedar Cit</v>
      </c>
      <c r="K1238" s="7" t="str">
        <f t="shared" ref="K1238:K1301" si="238">RIGHT(H1238,4)</f>
        <v xml:space="preserve">,UT </v>
      </c>
      <c r="L1238" s="7" t="str">
        <f t="shared" si="233"/>
        <v>,UT</v>
      </c>
      <c r="M1238" s="7" t="str">
        <f t="shared" si="234"/>
        <v>UT</v>
      </c>
      <c r="N1238" s="9">
        <f t="shared" si="235"/>
        <v>37.700000000000003</v>
      </c>
      <c r="O1238" s="9">
        <f t="shared" si="236"/>
        <v>113.1</v>
      </c>
    </row>
    <row r="1239" spans="1:15" x14ac:dyDescent="0.2">
      <c r="A1239" s="1" t="s">
        <v>2438</v>
      </c>
      <c r="B1239" s="2">
        <v>39.33</v>
      </c>
      <c r="C1239" s="2">
        <v>112.58</v>
      </c>
      <c r="D1239" s="2" t="s">
        <v>2439</v>
      </c>
      <c r="H1239" s="2" t="s">
        <v>3740</v>
      </c>
      <c r="J1239" s="7" t="str">
        <f t="shared" si="237"/>
        <v>Delta</v>
      </c>
      <c r="K1239" s="7" t="str">
        <f t="shared" si="238"/>
        <v xml:space="preserve">UT  </v>
      </c>
      <c r="L1239" s="7" t="str">
        <f t="shared" si="233"/>
        <v xml:space="preserve">UT </v>
      </c>
      <c r="M1239" s="7" t="str">
        <f t="shared" si="234"/>
        <v xml:space="preserve">UT </v>
      </c>
      <c r="N1239" s="9">
        <f t="shared" si="235"/>
        <v>39.33</v>
      </c>
      <c r="O1239" s="9">
        <f t="shared" si="236"/>
        <v>112.58</v>
      </c>
    </row>
    <row r="1240" spans="1:15" x14ac:dyDescent="0.2">
      <c r="A1240" s="1" t="s">
        <v>2440</v>
      </c>
      <c r="B1240" s="2">
        <v>40.200000000000003</v>
      </c>
      <c r="C1240" s="2">
        <v>112.93</v>
      </c>
      <c r="D1240" s="2" t="s">
        <v>2441</v>
      </c>
      <c r="E1240" s="2" t="s">
        <v>2442</v>
      </c>
      <c r="H1240" s="2" t="s">
        <v>3741</v>
      </c>
      <c r="J1240" s="7" t="str">
        <f t="shared" si="237"/>
        <v>Dugway Prvg</v>
      </c>
      <c r="K1240" s="7" t="str">
        <f t="shared" si="238"/>
        <v xml:space="preserve">,UT </v>
      </c>
      <c r="L1240" s="7" t="str">
        <f t="shared" si="233"/>
        <v>,UT</v>
      </c>
      <c r="M1240" s="7" t="str">
        <f t="shared" si="234"/>
        <v>UT</v>
      </c>
      <c r="N1240" s="9">
        <f t="shared" si="235"/>
        <v>40.200000000000003</v>
      </c>
      <c r="O1240" s="9">
        <f t="shared" si="236"/>
        <v>112.93</v>
      </c>
    </row>
    <row r="1241" spans="1:15" x14ac:dyDescent="0.2">
      <c r="A1241" s="1" t="s">
        <v>2443</v>
      </c>
      <c r="B1241" s="2">
        <v>41.05</v>
      </c>
      <c r="C1241" s="2">
        <v>113.07</v>
      </c>
      <c r="D1241" s="2" t="s">
        <v>165</v>
      </c>
      <c r="E1241" s="2" t="s">
        <v>2444</v>
      </c>
      <c r="H1241" s="2" t="s">
        <v>3742</v>
      </c>
      <c r="J1241" s="7" t="str">
        <f t="shared" si="237"/>
        <v>Eagle Rang</v>
      </c>
      <c r="K1241" s="7" t="str">
        <f t="shared" si="238"/>
        <v xml:space="preserve">,UT </v>
      </c>
      <c r="L1241" s="7" t="str">
        <f t="shared" si="233"/>
        <v>,UT</v>
      </c>
      <c r="M1241" s="7" t="str">
        <f t="shared" si="234"/>
        <v>UT</v>
      </c>
      <c r="N1241" s="9">
        <f t="shared" si="235"/>
        <v>41.05</v>
      </c>
      <c r="O1241" s="9">
        <f t="shared" si="236"/>
        <v>113.07</v>
      </c>
    </row>
    <row r="1242" spans="1:15" x14ac:dyDescent="0.2">
      <c r="A1242" s="1" t="s">
        <v>2445</v>
      </c>
      <c r="B1242" s="2">
        <v>39</v>
      </c>
      <c r="C1242" s="2">
        <v>110.15</v>
      </c>
      <c r="D1242" s="2" t="s">
        <v>2446</v>
      </c>
      <c r="E1242" s="2" t="s">
        <v>2447</v>
      </c>
      <c r="H1242" s="2" t="s">
        <v>3743</v>
      </c>
      <c r="J1242" s="7" t="str">
        <f t="shared" si="237"/>
        <v>Green Rive</v>
      </c>
      <c r="K1242" s="7" t="str">
        <f t="shared" si="238"/>
        <v xml:space="preserve">,UT </v>
      </c>
      <c r="L1242" s="7" t="str">
        <f t="shared" si="233"/>
        <v>,UT</v>
      </c>
      <c r="M1242" s="7" t="str">
        <f t="shared" si="234"/>
        <v>UT</v>
      </c>
      <c r="N1242" s="9">
        <f t="shared" si="235"/>
        <v>39</v>
      </c>
      <c r="O1242" s="9">
        <f t="shared" si="236"/>
        <v>110.15</v>
      </c>
    </row>
    <row r="1243" spans="1:15" x14ac:dyDescent="0.2">
      <c r="A1243" s="1" t="s">
        <v>2448</v>
      </c>
      <c r="B1243" s="2">
        <v>38.369999999999997</v>
      </c>
      <c r="C1243" s="2">
        <v>110.72</v>
      </c>
      <c r="D1243" s="2" t="s">
        <v>2449</v>
      </c>
      <c r="H1243" s="2" t="s">
        <v>3744</v>
      </c>
      <c r="J1243" s="7" t="str">
        <f t="shared" si="237"/>
        <v>Hanksville</v>
      </c>
      <c r="K1243" s="7" t="str">
        <f t="shared" si="238"/>
        <v xml:space="preserve">UT  </v>
      </c>
      <c r="L1243" s="7" t="str">
        <f t="shared" si="233"/>
        <v xml:space="preserve">UT </v>
      </c>
      <c r="M1243" s="7" t="str">
        <f t="shared" si="234"/>
        <v xml:space="preserve">UT </v>
      </c>
      <c r="N1243" s="9">
        <f t="shared" si="235"/>
        <v>38.369999999999997</v>
      </c>
      <c r="O1243" s="9">
        <f t="shared" si="236"/>
        <v>110.72</v>
      </c>
    </row>
    <row r="1244" spans="1:15" x14ac:dyDescent="0.2">
      <c r="A1244" s="1" t="s">
        <v>2450</v>
      </c>
      <c r="B1244" s="2">
        <v>41.12</v>
      </c>
      <c r="C1244" s="2">
        <v>111.97</v>
      </c>
      <c r="D1244" s="2" t="s">
        <v>1164</v>
      </c>
      <c r="E1244" s="2" t="s">
        <v>2451</v>
      </c>
      <c r="H1244" s="2" t="s">
        <v>3745</v>
      </c>
      <c r="J1244" s="7" t="str">
        <f t="shared" si="237"/>
        <v>Hill AF</v>
      </c>
      <c r="K1244" s="7" t="str">
        <f t="shared" si="238"/>
        <v xml:space="preserve">,UT </v>
      </c>
      <c r="L1244" s="7" t="str">
        <f t="shared" si="233"/>
        <v>,UT</v>
      </c>
      <c r="M1244" s="7" t="str">
        <f t="shared" si="234"/>
        <v>UT</v>
      </c>
      <c r="N1244" s="9">
        <f t="shared" si="235"/>
        <v>41.12</v>
      </c>
      <c r="O1244" s="9">
        <f t="shared" si="236"/>
        <v>111.97</v>
      </c>
    </row>
    <row r="1245" spans="1:15" x14ac:dyDescent="0.2">
      <c r="A1245" s="1" t="s">
        <v>2452</v>
      </c>
      <c r="B1245" s="2">
        <v>41.78</v>
      </c>
      <c r="C1245" s="2">
        <v>111.85</v>
      </c>
      <c r="D1245" s="2" t="s">
        <v>2453</v>
      </c>
      <c r="H1245" s="2" t="s">
        <v>3746</v>
      </c>
      <c r="J1245" s="7" t="str">
        <f t="shared" si="237"/>
        <v>Logan</v>
      </c>
      <c r="K1245" s="7" t="str">
        <f t="shared" si="238"/>
        <v xml:space="preserve">UT  </v>
      </c>
      <c r="L1245" s="7" t="str">
        <f t="shared" si="233"/>
        <v xml:space="preserve">UT </v>
      </c>
      <c r="M1245" s="7" t="str">
        <f t="shared" si="234"/>
        <v xml:space="preserve">UT </v>
      </c>
      <c r="N1245" s="9">
        <f t="shared" si="235"/>
        <v>41.78</v>
      </c>
      <c r="O1245" s="9">
        <f t="shared" si="236"/>
        <v>111.85</v>
      </c>
    </row>
    <row r="1246" spans="1:15" x14ac:dyDescent="0.2">
      <c r="A1246" s="1" t="s">
        <v>2454</v>
      </c>
      <c r="B1246" s="2">
        <v>38.72</v>
      </c>
      <c r="C1246" s="2">
        <v>113.03</v>
      </c>
      <c r="D1246" s="2" t="s">
        <v>2455</v>
      </c>
      <c r="H1246" s="2" t="s">
        <v>3747</v>
      </c>
      <c r="J1246" s="7" t="str">
        <f t="shared" si="237"/>
        <v>Milford</v>
      </c>
      <c r="K1246" s="7" t="str">
        <f t="shared" si="238"/>
        <v xml:space="preserve">UT  </v>
      </c>
      <c r="L1246" s="7" t="str">
        <f t="shared" si="233"/>
        <v xml:space="preserve">UT </v>
      </c>
      <c r="M1246" s="7" t="str">
        <f t="shared" si="234"/>
        <v xml:space="preserve">UT </v>
      </c>
      <c r="N1246" s="9">
        <f t="shared" si="235"/>
        <v>38.72</v>
      </c>
      <c r="O1246" s="9">
        <f t="shared" si="236"/>
        <v>113.03</v>
      </c>
    </row>
    <row r="1247" spans="1:15" x14ac:dyDescent="0.2">
      <c r="A1247" s="1" t="s">
        <v>2456</v>
      </c>
      <c r="B1247" s="2">
        <v>38.770000000000003</v>
      </c>
      <c r="C1247" s="2">
        <v>109.75</v>
      </c>
      <c r="D1247" s="2" t="s">
        <v>2457</v>
      </c>
      <c r="H1247" s="2" t="s">
        <v>3748</v>
      </c>
      <c r="J1247" s="7" t="str">
        <f t="shared" si="237"/>
        <v>Moab</v>
      </c>
      <c r="K1247" s="7" t="str">
        <f t="shared" si="238"/>
        <v xml:space="preserve">UT  </v>
      </c>
      <c r="L1247" s="7" t="str">
        <f t="shared" si="233"/>
        <v xml:space="preserve">UT </v>
      </c>
      <c r="M1247" s="7" t="str">
        <f t="shared" si="234"/>
        <v xml:space="preserve">UT </v>
      </c>
      <c r="N1247" s="9">
        <f t="shared" si="235"/>
        <v>38.770000000000003</v>
      </c>
      <c r="O1247" s="9">
        <f t="shared" si="236"/>
        <v>109.75</v>
      </c>
    </row>
    <row r="1248" spans="1:15" x14ac:dyDescent="0.2">
      <c r="A1248" s="1" t="s">
        <v>2458</v>
      </c>
      <c r="B1248" s="2">
        <v>41.18</v>
      </c>
      <c r="C1248" s="2">
        <v>112.02</v>
      </c>
      <c r="D1248" s="2" t="s">
        <v>2459</v>
      </c>
      <c r="H1248" s="2" t="s">
        <v>3749</v>
      </c>
      <c r="J1248" s="7" t="str">
        <f t="shared" si="237"/>
        <v>Ogden</v>
      </c>
      <c r="K1248" s="7" t="str">
        <f t="shared" si="238"/>
        <v xml:space="preserve">UT  </v>
      </c>
      <c r="L1248" s="7" t="str">
        <f t="shared" si="233"/>
        <v xml:space="preserve">UT </v>
      </c>
      <c r="M1248" s="7" t="str">
        <f t="shared" si="234"/>
        <v xml:space="preserve">UT </v>
      </c>
      <c r="N1248" s="9">
        <f t="shared" si="235"/>
        <v>41.18</v>
      </c>
      <c r="O1248" s="9">
        <f t="shared" si="236"/>
        <v>112.02</v>
      </c>
    </row>
    <row r="1249" spans="1:15" x14ac:dyDescent="0.2">
      <c r="A1249" s="1" t="s">
        <v>2460</v>
      </c>
      <c r="B1249" s="2">
        <v>39.619999999999997</v>
      </c>
      <c r="C1249" s="2">
        <v>110.75</v>
      </c>
      <c r="D1249" s="2" t="s">
        <v>2461</v>
      </c>
      <c r="H1249" s="2" t="s">
        <v>3750</v>
      </c>
      <c r="J1249" s="7" t="str">
        <f t="shared" si="237"/>
        <v>Price/Carbon</v>
      </c>
      <c r="K1249" s="7" t="str">
        <f t="shared" si="238"/>
        <v xml:space="preserve">UT  </v>
      </c>
      <c r="L1249" s="7" t="str">
        <f t="shared" si="233"/>
        <v xml:space="preserve">UT </v>
      </c>
      <c r="M1249" s="7" t="str">
        <f t="shared" si="234"/>
        <v xml:space="preserve">UT </v>
      </c>
      <c r="N1249" s="9">
        <f t="shared" si="235"/>
        <v>39.619999999999997</v>
      </c>
      <c r="O1249" s="9">
        <f t="shared" si="236"/>
        <v>110.75</v>
      </c>
    </row>
    <row r="1250" spans="1:15" x14ac:dyDescent="0.2">
      <c r="A1250" s="1" t="s">
        <v>2462</v>
      </c>
      <c r="B1250" s="2">
        <v>40.22</v>
      </c>
      <c r="C1250" s="2">
        <v>111.72</v>
      </c>
      <c r="D1250" s="2" t="s">
        <v>2463</v>
      </c>
      <c r="H1250" s="2" t="s">
        <v>3751</v>
      </c>
      <c r="J1250" s="7" t="str">
        <f t="shared" si="237"/>
        <v>Provo</v>
      </c>
      <c r="K1250" s="7" t="str">
        <f t="shared" si="238"/>
        <v xml:space="preserve">UT  </v>
      </c>
      <c r="L1250" s="7" t="str">
        <f t="shared" si="233"/>
        <v xml:space="preserve">UT </v>
      </c>
      <c r="M1250" s="7" t="str">
        <f t="shared" si="234"/>
        <v xml:space="preserve">UT </v>
      </c>
      <c r="N1250" s="9">
        <f t="shared" si="235"/>
        <v>40.22</v>
      </c>
      <c r="O1250" s="9">
        <f t="shared" si="236"/>
        <v>111.72</v>
      </c>
    </row>
    <row r="1251" spans="1:15" x14ac:dyDescent="0.2">
      <c r="A1251" s="1" t="s">
        <v>2464</v>
      </c>
      <c r="B1251" s="2">
        <v>40.5</v>
      </c>
      <c r="C1251" s="2">
        <v>110.63</v>
      </c>
      <c r="D1251" s="2" t="s">
        <v>2465</v>
      </c>
      <c r="H1251" s="2" t="s">
        <v>3752</v>
      </c>
      <c r="J1251" s="7" t="str">
        <f t="shared" si="237"/>
        <v>Roosevelt</v>
      </c>
      <c r="K1251" s="7" t="str">
        <f t="shared" si="238"/>
        <v xml:space="preserve">UT  </v>
      </c>
      <c r="L1251" s="7" t="str">
        <f t="shared" si="233"/>
        <v xml:space="preserve">UT </v>
      </c>
      <c r="M1251" s="7" t="str">
        <f t="shared" si="234"/>
        <v xml:space="preserve">UT </v>
      </c>
      <c r="N1251" s="9">
        <f t="shared" si="235"/>
        <v>40.5</v>
      </c>
      <c r="O1251" s="9">
        <f t="shared" si="236"/>
        <v>110.63</v>
      </c>
    </row>
    <row r="1252" spans="1:15" x14ac:dyDescent="0.2">
      <c r="A1252" s="1" t="s">
        <v>2466</v>
      </c>
      <c r="B1252" s="2">
        <v>37.08</v>
      </c>
      <c r="C1252" s="2">
        <v>113.6</v>
      </c>
      <c r="D1252" s="2" t="s">
        <v>862</v>
      </c>
      <c r="E1252" s="2" t="s">
        <v>2467</v>
      </c>
      <c r="H1252" s="2" t="s">
        <v>3753</v>
      </c>
      <c r="J1252" s="7" t="str">
        <f t="shared" si="237"/>
        <v>Saint Georg</v>
      </c>
      <c r="K1252" s="7" t="str">
        <f t="shared" si="238"/>
        <v xml:space="preserve">,UT </v>
      </c>
      <c r="L1252" s="7" t="str">
        <f t="shared" si="233"/>
        <v>,UT</v>
      </c>
      <c r="M1252" s="7" t="str">
        <f t="shared" si="234"/>
        <v>UT</v>
      </c>
      <c r="N1252" s="9">
        <f t="shared" si="235"/>
        <v>37.08</v>
      </c>
      <c r="O1252" s="9">
        <f t="shared" si="236"/>
        <v>113.6</v>
      </c>
    </row>
    <row r="1253" spans="1:15" x14ac:dyDescent="0.2">
      <c r="A1253" s="1" t="s">
        <v>2468</v>
      </c>
      <c r="B1253" s="2">
        <v>40.78</v>
      </c>
      <c r="C1253" s="2">
        <v>111.97</v>
      </c>
      <c r="D1253" s="2" t="s">
        <v>2469</v>
      </c>
      <c r="E1253" s="2" t="s">
        <v>510</v>
      </c>
      <c r="F1253" s="2" t="s">
        <v>2470</v>
      </c>
      <c r="H1253" s="2" t="s">
        <v>3754</v>
      </c>
      <c r="J1253" s="7" t="str">
        <f t="shared" si="237"/>
        <v xml:space="preserve">Salt Lake </v>
      </c>
      <c r="K1253" s="7" t="str">
        <f t="shared" si="238"/>
        <v>t,UT</v>
      </c>
      <c r="L1253" s="7" t="str">
        <f t="shared" si="233"/>
        <v>t,U</v>
      </c>
      <c r="M1253" s="7" t="str">
        <f t="shared" si="234"/>
        <v>tU</v>
      </c>
      <c r="N1253" s="9">
        <f t="shared" si="235"/>
        <v>40.78</v>
      </c>
      <c r="O1253" s="9">
        <f t="shared" si="236"/>
        <v>111.97</v>
      </c>
    </row>
    <row r="1254" spans="1:15" x14ac:dyDescent="0.2">
      <c r="A1254" s="1" t="s">
        <v>2471</v>
      </c>
      <c r="B1254" s="2">
        <v>40.17</v>
      </c>
      <c r="C1254" s="2">
        <v>112.2</v>
      </c>
      <c r="D1254" s="2" t="s">
        <v>2472</v>
      </c>
      <c r="H1254" s="2" t="s">
        <v>3755</v>
      </c>
      <c r="J1254" s="7" t="str">
        <f t="shared" si="237"/>
        <v>Tooele</v>
      </c>
      <c r="K1254" s="7" t="str">
        <f t="shared" si="238"/>
        <v xml:space="preserve">UT  </v>
      </c>
      <c r="L1254" s="7" t="str">
        <f t="shared" si="233"/>
        <v xml:space="preserve">UT </v>
      </c>
      <c r="M1254" s="7" t="str">
        <f t="shared" si="234"/>
        <v xml:space="preserve">UT </v>
      </c>
      <c r="N1254" s="9">
        <f t="shared" si="235"/>
        <v>40.17</v>
      </c>
      <c r="O1254" s="9">
        <f t="shared" si="236"/>
        <v>112.2</v>
      </c>
    </row>
    <row r="1255" spans="1:15" x14ac:dyDescent="0.2">
      <c r="A1255" s="1" t="s">
        <v>2473</v>
      </c>
      <c r="B1255" s="2">
        <v>40.450000000000003</v>
      </c>
      <c r="C1255" s="2">
        <v>109.52</v>
      </c>
      <c r="D1255" s="2" t="s">
        <v>2474</v>
      </c>
      <c r="H1255" s="2" t="s">
        <v>3756</v>
      </c>
      <c r="J1255" s="7" t="str">
        <f t="shared" si="237"/>
        <v>Vernal</v>
      </c>
      <c r="K1255" s="7" t="str">
        <f t="shared" si="238"/>
        <v xml:space="preserve">UT  </v>
      </c>
      <c r="L1255" s="7" t="str">
        <f t="shared" si="233"/>
        <v xml:space="preserve">UT </v>
      </c>
      <c r="M1255" s="7" t="str">
        <f t="shared" si="234"/>
        <v xml:space="preserve">UT </v>
      </c>
      <c r="N1255" s="9">
        <f t="shared" si="235"/>
        <v>40.450000000000003</v>
      </c>
      <c r="O1255" s="9">
        <f t="shared" si="236"/>
        <v>109.52</v>
      </c>
    </row>
    <row r="1256" spans="1:15" x14ac:dyDescent="0.2">
      <c r="A1256" s="1" t="s">
        <v>2475</v>
      </c>
      <c r="B1256" s="2">
        <v>41.22</v>
      </c>
      <c r="C1256" s="2">
        <v>114.05</v>
      </c>
      <c r="D1256" s="2" t="s">
        <v>2476</v>
      </c>
      <c r="H1256" s="2" t="s">
        <v>3757</v>
      </c>
      <c r="J1256" s="7" t="str">
        <f t="shared" si="237"/>
        <v>Wendover</v>
      </c>
      <c r="K1256" s="7" t="str">
        <f t="shared" si="238"/>
        <v xml:space="preserve">UT  </v>
      </c>
      <c r="L1256" s="7" t="str">
        <f t="shared" si="233"/>
        <v xml:space="preserve">UT </v>
      </c>
      <c r="M1256" s="7" t="str">
        <f t="shared" si="234"/>
        <v xml:space="preserve">UT </v>
      </c>
      <c r="N1256" s="9">
        <f t="shared" si="235"/>
        <v>41.22</v>
      </c>
      <c r="O1256" s="9">
        <f t="shared" si="236"/>
        <v>114.05</v>
      </c>
    </row>
    <row r="1257" spans="1:15" x14ac:dyDescent="0.2">
      <c r="A1257" s="4"/>
      <c r="H1257" s="2" t="s">
        <v>2726</v>
      </c>
      <c r="J1257" s="7"/>
      <c r="K1257" s="7"/>
      <c r="L1257" s="7"/>
      <c r="M1257" s="7"/>
      <c r="N1257" s="9"/>
      <c r="O1257" s="9"/>
    </row>
    <row r="1258" spans="1:15" x14ac:dyDescent="0.2">
      <c r="A1258" s="1" t="s">
        <v>36</v>
      </c>
      <c r="H1258" s="2" t="s">
        <v>2726</v>
      </c>
      <c r="J1258" s="7"/>
      <c r="K1258" s="7"/>
      <c r="L1258" s="7"/>
      <c r="M1258" s="7"/>
      <c r="N1258" s="9"/>
      <c r="O1258" s="9"/>
    </row>
    <row r="1259" spans="1:15" x14ac:dyDescent="0.2">
      <c r="A1259" s="4"/>
      <c r="H1259" s="2" t="s">
        <v>2726</v>
      </c>
      <c r="J1259" s="7"/>
      <c r="K1259" s="7"/>
      <c r="L1259" s="7"/>
      <c r="M1259" s="7"/>
      <c r="N1259" s="9"/>
      <c r="O1259" s="9"/>
    </row>
    <row r="1260" spans="1:15" x14ac:dyDescent="0.2">
      <c r="A1260" s="1" t="s">
        <v>2477</v>
      </c>
      <c r="B1260" s="2">
        <v>44.47</v>
      </c>
      <c r="C1260" s="2">
        <v>73.150000000000006</v>
      </c>
      <c r="D1260" s="2" t="s">
        <v>2478</v>
      </c>
      <c r="H1260" s="2" t="s">
        <v>3758</v>
      </c>
      <c r="J1260" s="7" t="str">
        <f t="shared" si="237"/>
        <v>Burlington</v>
      </c>
      <c r="K1260" s="7" t="str">
        <f t="shared" si="238"/>
        <v xml:space="preserve">VT  </v>
      </c>
      <c r="L1260" s="7" t="str">
        <f t="shared" ref="L1260:L1265" si="239">LEFT(K1260,LEN(K1260)-1)</f>
        <v xml:space="preserve">VT </v>
      </c>
      <c r="M1260" s="7" t="str">
        <f t="shared" ref="M1260:M1265" si="240">SUBSTITUTE(L1260,",","")</f>
        <v xml:space="preserve">VT </v>
      </c>
      <c r="N1260" s="9">
        <f t="shared" ref="N1260:O1265" si="241">B1260</f>
        <v>44.47</v>
      </c>
      <c r="O1260" s="9">
        <f t="shared" si="241"/>
        <v>73.150000000000006</v>
      </c>
    </row>
    <row r="1261" spans="1:15" x14ac:dyDescent="0.2">
      <c r="A1261" s="1" t="s">
        <v>2479</v>
      </c>
      <c r="B1261" s="2">
        <v>44.2</v>
      </c>
      <c r="C1261" s="2">
        <v>72.569999999999993</v>
      </c>
      <c r="D1261" s="2" t="s">
        <v>2480</v>
      </c>
      <c r="H1261" s="2" t="s">
        <v>3759</v>
      </c>
      <c r="J1261" s="7" t="str">
        <f t="shared" si="237"/>
        <v>Montpelier</v>
      </c>
      <c r="K1261" s="7" t="str">
        <f t="shared" si="238"/>
        <v xml:space="preserve">VT  </v>
      </c>
      <c r="L1261" s="7" t="str">
        <f t="shared" si="239"/>
        <v xml:space="preserve">VT </v>
      </c>
      <c r="M1261" s="7" t="str">
        <f t="shared" si="240"/>
        <v xml:space="preserve">VT </v>
      </c>
      <c r="N1261" s="9">
        <f t="shared" si="241"/>
        <v>44.2</v>
      </c>
      <c r="O1261" s="9">
        <f t="shared" si="241"/>
        <v>72.569999999999993</v>
      </c>
    </row>
    <row r="1262" spans="1:15" x14ac:dyDescent="0.2">
      <c r="A1262" s="1" t="s">
        <v>2481</v>
      </c>
      <c r="B1262" s="2">
        <v>45.55</v>
      </c>
      <c r="C1262" s="2">
        <v>72.33</v>
      </c>
      <c r="D1262" s="2" t="s">
        <v>2482</v>
      </c>
      <c r="H1262" s="2" t="s">
        <v>3760</v>
      </c>
      <c r="J1262" s="7" t="str">
        <f t="shared" si="237"/>
        <v>Newport</v>
      </c>
      <c r="K1262" s="7" t="str">
        <f t="shared" si="238"/>
        <v xml:space="preserve">VT  </v>
      </c>
      <c r="L1262" s="7" t="str">
        <f t="shared" si="239"/>
        <v xml:space="preserve">VT </v>
      </c>
      <c r="M1262" s="7" t="str">
        <f t="shared" si="240"/>
        <v xml:space="preserve">VT </v>
      </c>
      <c r="N1262" s="9">
        <f t="shared" si="241"/>
        <v>45.55</v>
      </c>
      <c r="O1262" s="9">
        <f t="shared" si="241"/>
        <v>72.33</v>
      </c>
    </row>
    <row r="1263" spans="1:15" x14ac:dyDescent="0.2">
      <c r="A1263" s="1" t="s">
        <v>2483</v>
      </c>
      <c r="B1263" s="2">
        <v>43.53</v>
      </c>
      <c r="C1263" s="2">
        <v>73.95</v>
      </c>
      <c r="D1263" s="2" t="s">
        <v>2484</v>
      </c>
      <c r="H1263" s="2" t="s">
        <v>3761</v>
      </c>
      <c r="J1263" s="7" t="str">
        <f t="shared" si="237"/>
        <v>Rutland</v>
      </c>
      <c r="K1263" s="7" t="str">
        <f t="shared" si="238"/>
        <v xml:space="preserve">VT  </v>
      </c>
      <c r="L1263" s="7" t="str">
        <f t="shared" si="239"/>
        <v xml:space="preserve">VT </v>
      </c>
      <c r="M1263" s="7" t="str">
        <f t="shared" si="240"/>
        <v xml:space="preserve">VT </v>
      </c>
      <c r="N1263" s="9">
        <f t="shared" si="241"/>
        <v>43.53</v>
      </c>
      <c r="O1263" s="9">
        <f t="shared" si="241"/>
        <v>73.95</v>
      </c>
    </row>
    <row r="1264" spans="1:15" x14ac:dyDescent="0.2">
      <c r="A1264" s="1" t="s">
        <v>2485</v>
      </c>
      <c r="B1264" s="2">
        <v>44.42</v>
      </c>
      <c r="C1264" s="2">
        <v>72.02</v>
      </c>
      <c r="D1264" s="2" t="s">
        <v>138</v>
      </c>
      <c r="E1264" s="2" t="s">
        <v>2486</v>
      </c>
      <c r="H1264" s="2" t="s">
        <v>3762</v>
      </c>
      <c r="J1264" s="7" t="str">
        <f t="shared" si="237"/>
        <v>St Johnsbur</v>
      </c>
      <c r="K1264" s="7" t="str">
        <f t="shared" si="238"/>
        <v xml:space="preserve">,VT </v>
      </c>
      <c r="L1264" s="7" t="str">
        <f t="shared" si="239"/>
        <v>,VT</v>
      </c>
      <c r="M1264" s="7" t="str">
        <f t="shared" si="240"/>
        <v>VT</v>
      </c>
      <c r="N1264" s="9">
        <f t="shared" si="241"/>
        <v>44.42</v>
      </c>
      <c r="O1264" s="9">
        <f t="shared" si="241"/>
        <v>72.02</v>
      </c>
    </row>
    <row r="1265" spans="1:15" x14ac:dyDescent="0.2">
      <c r="A1265" s="1" t="s">
        <v>2487</v>
      </c>
      <c r="B1265" s="2">
        <v>42.88</v>
      </c>
      <c r="C1265" s="2">
        <v>72.88</v>
      </c>
      <c r="D1265" s="2" t="s">
        <v>2488</v>
      </c>
      <c r="H1265" s="2" t="s">
        <v>3763</v>
      </c>
      <c r="J1265" s="7" t="str">
        <f t="shared" si="237"/>
        <v>Wilmington</v>
      </c>
      <c r="K1265" s="7" t="str">
        <f t="shared" si="238"/>
        <v xml:space="preserve">VT  </v>
      </c>
      <c r="L1265" s="7" t="str">
        <f t="shared" si="239"/>
        <v xml:space="preserve">VT </v>
      </c>
      <c r="M1265" s="7" t="str">
        <f t="shared" si="240"/>
        <v xml:space="preserve">VT </v>
      </c>
      <c r="N1265" s="9">
        <f t="shared" si="241"/>
        <v>42.88</v>
      </c>
      <c r="O1265" s="9">
        <f t="shared" si="241"/>
        <v>72.88</v>
      </c>
    </row>
    <row r="1266" spans="1:15" x14ac:dyDescent="0.2">
      <c r="A1266" s="4"/>
      <c r="H1266" s="2" t="s">
        <v>2726</v>
      </c>
      <c r="J1266" s="7"/>
      <c r="K1266" s="7"/>
      <c r="L1266" s="7"/>
      <c r="M1266" s="7"/>
      <c r="N1266" s="9"/>
      <c r="O1266" s="9"/>
    </row>
    <row r="1267" spans="1:15" x14ac:dyDescent="0.2">
      <c r="A1267" s="1" t="s">
        <v>37</v>
      </c>
      <c r="H1267" s="2" t="s">
        <v>2726</v>
      </c>
      <c r="J1267" s="7"/>
      <c r="K1267" s="7"/>
      <c r="L1267" s="7"/>
      <c r="M1267" s="7"/>
      <c r="N1267" s="9"/>
      <c r="O1267" s="9"/>
    </row>
    <row r="1268" spans="1:15" x14ac:dyDescent="0.2">
      <c r="A1268" s="4"/>
      <c r="H1268" s="2" t="s">
        <v>2726</v>
      </c>
      <c r="J1268" s="7"/>
      <c r="K1268" s="7"/>
      <c r="L1268" s="7"/>
      <c r="M1268" s="7"/>
      <c r="N1268" s="9"/>
      <c r="O1268" s="9"/>
    </row>
    <row r="1269" spans="1:15" x14ac:dyDescent="0.2">
      <c r="A1269" s="1" t="s">
        <v>2489</v>
      </c>
      <c r="B1269" s="2">
        <v>38.130000000000003</v>
      </c>
      <c r="C1269" s="2">
        <v>78.45</v>
      </c>
      <c r="D1269" s="2" t="s">
        <v>2490</v>
      </c>
      <c r="H1269" s="2" t="s">
        <v>3764</v>
      </c>
      <c r="J1269" s="7" t="str">
        <f t="shared" si="237"/>
        <v>Charlottesvi</v>
      </c>
      <c r="K1269" s="7" t="str">
        <f t="shared" si="238"/>
        <v xml:space="preserve">VA  </v>
      </c>
      <c r="L1269" s="7" t="str">
        <f t="shared" ref="L1269:L1286" si="242">LEFT(K1269,LEN(K1269)-1)</f>
        <v xml:space="preserve">VA </v>
      </c>
      <c r="M1269" s="7" t="str">
        <f t="shared" ref="M1269:M1286" si="243">SUBSTITUTE(L1269,",","")</f>
        <v xml:space="preserve">VA </v>
      </c>
      <c r="N1269" s="9">
        <f t="shared" ref="N1269:N1286" si="244">B1269</f>
        <v>38.130000000000003</v>
      </c>
      <c r="O1269" s="9">
        <f t="shared" ref="O1269:O1286" si="245">C1269</f>
        <v>78.45</v>
      </c>
    </row>
    <row r="1270" spans="1:15" x14ac:dyDescent="0.2">
      <c r="A1270" s="1" t="s">
        <v>2491</v>
      </c>
      <c r="B1270" s="2">
        <v>37.5</v>
      </c>
      <c r="C1270" s="2">
        <v>76.2</v>
      </c>
      <c r="D1270" s="2" t="s">
        <v>2492</v>
      </c>
      <c r="H1270" s="2" t="s">
        <v>3765</v>
      </c>
      <c r="J1270" s="7" t="str">
        <f t="shared" si="237"/>
        <v>Chesapeake</v>
      </c>
      <c r="K1270" s="7" t="str">
        <f t="shared" si="238"/>
        <v xml:space="preserve">VA  </v>
      </c>
      <c r="L1270" s="7" t="str">
        <f t="shared" si="242"/>
        <v xml:space="preserve">VA </v>
      </c>
      <c r="M1270" s="7" t="str">
        <f t="shared" si="243"/>
        <v xml:space="preserve">VA </v>
      </c>
      <c r="N1270" s="9">
        <f t="shared" si="244"/>
        <v>37.5</v>
      </c>
      <c r="O1270" s="9">
        <f t="shared" si="245"/>
        <v>76.2</v>
      </c>
    </row>
    <row r="1271" spans="1:15" x14ac:dyDescent="0.2">
      <c r="A1271" s="1" t="s">
        <v>2493</v>
      </c>
      <c r="B1271" s="2">
        <v>36.57</v>
      </c>
      <c r="C1271" s="2">
        <v>79.33</v>
      </c>
      <c r="D1271" s="2" t="s">
        <v>2494</v>
      </c>
      <c r="H1271" s="2" t="s">
        <v>3766</v>
      </c>
      <c r="J1271" s="7" t="str">
        <f t="shared" si="237"/>
        <v>Danville</v>
      </c>
      <c r="K1271" s="7" t="str">
        <f t="shared" si="238"/>
        <v xml:space="preserve">VA  </v>
      </c>
      <c r="L1271" s="7" t="str">
        <f t="shared" si="242"/>
        <v xml:space="preserve">VA </v>
      </c>
      <c r="M1271" s="7" t="str">
        <f t="shared" si="243"/>
        <v xml:space="preserve">VA </v>
      </c>
      <c r="N1271" s="9">
        <f t="shared" si="244"/>
        <v>36.57</v>
      </c>
      <c r="O1271" s="9">
        <f t="shared" si="245"/>
        <v>79.33</v>
      </c>
    </row>
    <row r="1272" spans="1:15" x14ac:dyDescent="0.2">
      <c r="A1272" s="1" t="s">
        <v>2495</v>
      </c>
      <c r="B1272" s="2">
        <v>38.72</v>
      </c>
      <c r="C1272" s="2">
        <v>77.180000000000007</v>
      </c>
      <c r="D1272" s="2" t="s">
        <v>71</v>
      </c>
      <c r="E1272" s="2" t="s">
        <v>2496</v>
      </c>
      <c r="H1272" s="2" t="s">
        <v>3767</v>
      </c>
      <c r="J1272" s="7" t="str">
        <f t="shared" si="237"/>
        <v>Fort Belvoi</v>
      </c>
      <c r="K1272" s="7" t="str">
        <f t="shared" si="238"/>
        <v xml:space="preserve">,VA </v>
      </c>
      <c r="L1272" s="7" t="str">
        <f t="shared" si="242"/>
        <v>,VA</v>
      </c>
      <c r="M1272" s="7" t="str">
        <f t="shared" si="243"/>
        <v>VA</v>
      </c>
      <c r="N1272" s="9">
        <f t="shared" si="244"/>
        <v>38.72</v>
      </c>
      <c r="O1272" s="9">
        <f t="shared" si="245"/>
        <v>77.180000000000007</v>
      </c>
    </row>
    <row r="1273" spans="1:15" x14ac:dyDescent="0.2">
      <c r="A1273" s="1" t="s">
        <v>2497</v>
      </c>
      <c r="B1273" s="2">
        <v>37.130000000000003</v>
      </c>
      <c r="C1273" s="2">
        <v>76.62</v>
      </c>
      <c r="D1273" s="2" t="s">
        <v>71</v>
      </c>
      <c r="E1273" s="2" t="s">
        <v>2498</v>
      </c>
      <c r="H1273" s="2" t="s">
        <v>3768</v>
      </c>
      <c r="J1273" s="7" t="str">
        <f t="shared" si="237"/>
        <v>Fort Eusti</v>
      </c>
      <c r="K1273" s="7" t="str">
        <f t="shared" si="238"/>
        <v xml:space="preserve">,VA </v>
      </c>
      <c r="L1273" s="7" t="str">
        <f t="shared" si="242"/>
        <v>,VA</v>
      </c>
      <c r="M1273" s="7" t="str">
        <f t="shared" si="243"/>
        <v>VA</v>
      </c>
      <c r="N1273" s="9">
        <f t="shared" si="244"/>
        <v>37.130000000000003</v>
      </c>
      <c r="O1273" s="9">
        <f t="shared" si="245"/>
        <v>76.62</v>
      </c>
    </row>
    <row r="1274" spans="1:15" x14ac:dyDescent="0.2">
      <c r="A1274" s="1" t="s">
        <v>2499</v>
      </c>
      <c r="B1274" s="2">
        <v>37.950000000000003</v>
      </c>
      <c r="C1274" s="2">
        <v>79.819999999999993</v>
      </c>
      <c r="D1274" s="2" t="s">
        <v>406</v>
      </c>
      <c r="E1274" s="2" t="s">
        <v>2500</v>
      </c>
      <c r="H1274" s="2" t="s">
        <v>3769</v>
      </c>
      <c r="J1274" s="7" t="str">
        <f t="shared" si="237"/>
        <v>Hot Spring</v>
      </c>
      <c r="K1274" s="7" t="str">
        <f t="shared" si="238"/>
        <v xml:space="preserve">,VA </v>
      </c>
      <c r="L1274" s="7" t="str">
        <f t="shared" si="242"/>
        <v>,VA</v>
      </c>
      <c r="M1274" s="7" t="str">
        <f t="shared" si="243"/>
        <v>VA</v>
      </c>
      <c r="N1274" s="9">
        <f t="shared" si="244"/>
        <v>37.950000000000003</v>
      </c>
      <c r="O1274" s="9">
        <f t="shared" si="245"/>
        <v>79.819999999999993</v>
      </c>
    </row>
    <row r="1275" spans="1:15" x14ac:dyDescent="0.2">
      <c r="A1275" s="1" t="s">
        <v>2501</v>
      </c>
      <c r="B1275" s="2">
        <v>37.08</v>
      </c>
      <c r="C1275" s="2">
        <v>76.37</v>
      </c>
      <c r="D1275" s="2" t="s">
        <v>2502</v>
      </c>
      <c r="E1275" s="2" t="s">
        <v>2503</v>
      </c>
      <c r="H1275" s="2" t="s">
        <v>3770</v>
      </c>
      <c r="J1275" s="7" t="str">
        <f t="shared" si="237"/>
        <v>Langley AF</v>
      </c>
      <c r="K1275" s="7" t="str">
        <f t="shared" si="238"/>
        <v xml:space="preserve">,VA </v>
      </c>
      <c r="L1275" s="7" t="str">
        <f t="shared" si="242"/>
        <v>,VA</v>
      </c>
      <c r="M1275" s="7" t="str">
        <f t="shared" si="243"/>
        <v>VA</v>
      </c>
      <c r="N1275" s="9">
        <f t="shared" si="244"/>
        <v>37.08</v>
      </c>
      <c r="O1275" s="9">
        <f t="shared" si="245"/>
        <v>76.37</v>
      </c>
    </row>
    <row r="1276" spans="1:15" x14ac:dyDescent="0.2">
      <c r="A1276" s="1" t="s">
        <v>2504</v>
      </c>
      <c r="B1276" s="2">
        <v>37.33</v>
      </c>
      <c r="C1276" s="2">
        <v>79.2</v>
      </c>
      <c r="D1276" s="2" t="s">
        <v>2505</v>
      </c>
      <c r="H1276" s="2" t="s">
        <v>3771</v>
      </c>
      <c r="J1276" s="7" t="str">
        <f t="shared" si="237"/>
        <v>Lynchburg</v>
      </c>
      <c r="K1276" s="7" t="str">
        <f t="shared" si="238"/>
        <v xml:space="preserve">VA  </v>
      </c>
      <c r="L1276" s="7" t="str">
        <f t="shared" si="242"/>
        <v xml:space="preserve">VA </v>
      </c>
      <c r="M1276" s="7" t="str">
        <f t="shared" si="243"/>
        <v xml:space="preserve">VA </v>
      </c>
      <c r="N1276" s="9">
        <f t="shared" si="244"/>
        <v>37.33</v>
      </c>
      <c r="O1276" s="9">
        <f t="shared" si="245"/>
        <v>79.2</v>
      </c>
    </row>
    <row r="1277" spans="1:15" x14ac:dyDescent="0.2">
      <c r="A1277" s="1" t="s">
        <v>2506</v>
      </c>
      <c r="B1277" s="2">
        <v>37.130000000000003</v>
      </c>
      <c r="C1277" s="2">
        <v>76.5</v>
      </c>
      <c r="D1277" s="2" t="s">
        <v>2507</v>
      </c>
      <c r="E1277" s="2" t="s">
        <v>2508</v>
      </c>
      <c r="H1277" s="2" t="s">
        <v>3772</v>
      </c>
      <c r="J1277" s="7" t="str">
        <f t="shared" si="237"/>
        <v>Newport New</v>
      </c>
      <c r="K1277" s="7" t="str">
        <f t="shared" si="238"/>
        <v xml:space="preserve">,VA </v>
      </c>
      <c r="L1277" s="7" t="str">
        <f t="shared" si="242"/>
        <v>,VA</v>
      </c>
      <c r="M1277" s="7" t="str">
        <f t="shared" si="243"/>
        <v>VA</v>
      </c>
      <c r="N1277" s="9">
        <f t="shared" si="244"/>
        <v>37.130000000000003</v>
      </c>
      <c r="O1277" s="9">
        <f t="shared" si="245"/>
        <v>76.5</v>
      </c>
    </row>
    <row r="1278" spans="1:15" x14ac:dyDescent="0.2">
      <c r="A1278" s="1" t="s">
        <v>2509</v>
      </c>
      <c r="B1278" s="2">
        <v>36.93</v>
      </c>
      <c r="C1278" s="2">
        <v>76.28</v>
      </c>
      <c r="D1278" s="2" t="s">
        <v>2510</v>
      </c>
      <c r="E1278" s="2" t="s">
        <v>2511</v>
      </c>
      <c r="H1278" s="2" t="s">
        <v>3773</v>
      </c>
      <c r="J1278" s="7" t="str">
        <f t="shared" si="237"/>
        <v>Norfolk NA</v>
      </c>
      <c r="K1278" s="7" t="str">
        <f t="shared" si="238"/>
        <v xml:space="preserve">,VA </v>
      </c>
      <c r="L1278" s="7" t="str">
        <f t="shared" si="242"/>
        <v>,VA</v>
      </c>
      <c r="M1278" s="7" t="str">
        <f t="shared" si="243"/>
        <v>VA</v>
      </c>
      <c r="N1278" s="9">
        <f t="shared" si="244"/>
        <v>36.93</v>
      </c>
      <c r="O1278" s="9">
        <f t="shared" si="245"/>
        <v>76.28</v>
      </c>
    </row>
    <row r="1279" spans="1:15" x14ac:dyDescent="0.2">
      <c r="A1279" s="1" t="s">
        <v>2512</v>
      </c>
      <c r="B1279" s="2">
        <v>36.9</v>
      </c>
      <c r="C1279" s="2">
        <v>76.2</v>
      </c>
      <c r="D1279" s="2" t="s">
        <v>2510</v>
      </c>
      <c r="E1279" s="2" t="s">
        <v>2513</v>
      </c>
      <c r="H1279" s="2" t="s">
        <v>3774</v>
      </c>
      <c r="J1279" s="7" t="str">
        <f t="shared" si="237"/>
        <v>Norfolk Rgn</v>
      </c>
      <c r="K1279" s="7" t="str">
        <f t="shared" si="238"/>
        <v xml:space="preserve">,VA </v>
      </c>
      <c r="L1279" s="7" t="str">
        <f t="shared" si="242"/>
        <v>,VA</v>
      </c>
      <c r="M1279" s="7" t="str">
        <f t="shared" si="243"/>
        <v>VA</v>
      </c>
      <c r="N1279" s="9">
        <f t="shared" si="244"/>
        <v>36.9</v>
      </c>
      <c r="O1279" s="9">
        <f t="shared" si="245"/>
        <v>76.2</v>
      </c>
    </row>
    <row r="1280" spans="1:15" x14ac:dyDescent="0.2">
      <c r="A1280" s="1" t="s">
        <v>2514</v>
      </c>
      <c r="B1280" s="2">
        <v>36.82</v>
      </c>
      <c r="C1280" s="2">
        <v>76.03</v>
      </c>
      <c r="D1280" s="2" t="s">
        <v>2515</v>
      </c>
      <c r="E1280" s="2" t="s">
        <v>2511</v>
      </c>
      <c r="H1280" s="2" t="s">
        <v>3775</v>
      </c>
      <c r="J1280" s="7" t="str">
        <f t="shared" si="237"/>
        <v>Oceana NA</v>
      </c>
      <c r="K1280" s="7" t="str">
        <f t="shared" si="238"/>
        <v xml:space="preserve">,VA </v>
      </c>
      <c r="L1280" s="7" t="str">
        <f t="shared" si="242"/>
        <v>,VA</v>
      </c>
      <c r="M1280" s="7" t="str">
        <f t="shared" si="243"/>
        <v>VA</v>
      </c>
      <c r="N1280" s="9">
        <f t="shared" si="244"/>
        <v>36.82</v>
      </c>
      <c r="O1280" s="9">
        <f t="shared" si="245"/>
        <v>76.03</v>
      </c>
    </row>
    <row r="1281" spans="1:15" x14ac:dyDescent="0.2">
      <c r="A1281" s="1" t="s">
        <v>2516</v>
      </c>
      <c r="B1281" s="2">
        <v>38.5</v>
      </c>
      <c r="C1281" s="2">
        <v>77.3</v>
      </c>
      <c r="D1281" s="2" t="s">
        <v>2517</v>
      </c>
      <c r="E1281" s="2" t="s">
        <v>2518</v>
      </c>
      <c r="H1281" s="2" t="s">
        <v>3776</v>
      </c>
      <c r="J1281" s="7" t="str">
        <f t="shared" si="237"/>
        <v>Quantico Mc</v>
      </c>
      <c r="K1281" s="7" t="str">
        <f t="shared" si="238"/>
        <v xml:space="preserve">,VA </v>
      </c>
      <c r="L1281" s="7" t="str">
        <f t="shared" si="242"/>
        <v>,VA</v>
      </c>
      <c r="M1281" s="7" t="str">
        <f t="shared" si="243"/>
        <v>VA</v>
      </c>
      <c r="N1281" s="9">
        <f t="shared" si="244"/>
        <v>38.5</v>
      </c>
      <c r="O1281" s="9">
        <f t="shared" si="245"/>
        <v>77.3</v>
      </c>
    </row>
    <row r="1282" spans="1:15" x14ac:dyDescent="0.2">
      <c r="A1282" s="1" t="s">
        <v>2519</v>
      </c>
      <c r="B1282" s="2">
        <v>37.5</v>
      </c>
      <c r="C1282" s="2">
        <v>77.33</v>
      </c>
      <c r="D1282" s="2" t="s">
        <v>2520</v>
      </c>
      <c r="H1282" s="2" t="s">
        <v>3777</v>
      </c>
      <c r="J1282" s="7" t="str">
        <f t="shared" si="237"/>
        <v>Richmond</v>
      </c>
      <c r="K1282" s="7" t="str">
        <f t="shared" si="238"/>
        <v xml:space="preserve">VA  </v>
      </c>
      <c r="L1282" s="7" t="str">
        <f t="shared" si="242"/>
        <v xml:space="preserve">VA </v>
      </c>
      <c r="M1282" s="7" t="str">
        <f t="shared" si="243"/>
        <v xml:space="preserve">VA </v>
      </c>
      <c r="N1282" s="9">
        <f t="shared" si="244"/>
        <v>37.5</v>
      </c>
      <c r="O1282" s="9">
        <f t="shared" si="245"/>
        <v>77.33</v>
      </c>
    </row>
    <row r="1283" spans="1:15" x14ac:dyDescent="0.2">
      <c r="A1283" s="1" t="s">
        <v>2521</v>
      </c>
      <c r="B1283" s="2">
        <v>37.32</v>
      </c>
      <c r="C1283" s="2">
        <v>79.97</v>
      </c>
      <c r="D1283" s="2" t="s">
        <v>2522</v>
      </c>
      <c r="E1283" s="2" t="s">
        <v>2523</v>
      </c>
      <c r="H1283" s="2" t="s">
        <v>3778</v>
      </c>
      <c r="J1283" s="7" t="str">
        <f t="shared" si="237"/>
        <v>Roanoke Mun</v>
      </c>
      <c r="K1283" s="7" t="str">
        <f t="shared" si="238"/>
        <v xml:space="preserve">,VA </v>
      </c>
      <c r="L1283" s="7" t="str">
        <f t="shared" si="242"/>
        <v>,VA</v>
      </c>
      <c r="M1283" s="7" t="str">
        <f t="shared" si="243"/>
        <v>VA</v>
      </c>
      <c r="N1283" s="9">
        <f t="shared" si="244"/>
        <v>37.32</v>
      </c>
      <c r="O1283" s="9">
        <f t="shared" si="245"/>
        <v>79.97</v>
      </c>
    </row>
    <row r="1284" spans="1:15" x14ac:dyDescent="0.2">
      <c r="A1284" s="1" t="s">
        <v>2524</v>
      </c>
      <c r="B1284" s="2">
        <v>38.270000000000003</v>
      </c>
      <c r="C1284" s="2">
        <v>78.849999999999994</v>
      </c>
      <c r="D1284" s="2" t="s">
        <v>2525</v>
      </c>
      <c r="H1284" s="2" t="s">
        <v>3779</v>
      </c>
      <c r="J1284" s="7" t="str">
        <f t="shared" si="237"/>
        <v>Staunton</v>
      </c>
      <c r="K1284" s="7" t="str">
        <f t="shared" si="238"/>
        <v xml:space="preserve">VA  </v>
      </c>
      <c r="L1284" s="7" t="str">
        <f t="shared" si="242"/>
        <v xml:space="preserve">VA </v>
      </c>
      <c r="M1284" s="7" t="str">
        <f t="shared" si="243"/>
        <v xml:space="preserve">VA </v>
      </c>
      <c r="N1284" s="9">
        <f t="shared" si="244"/>
        <v>38.270000000000003</v>
      </c>
      <c r="O1284" s="9">
        <f t="shared" si="245"/>
        <v>78.849999999999994</v>
      </c>
    </row>
    <row r="1285" spans="1:15" x14ac:dyDescent="0.2">
      <c r="A1285" s="1" t="s">
        <v>2526</v>
      </c>
      <c r="B1285" s="2">
        <v>36.950000000000003</v>
      </c>
      <c r="C1285" s="2">
        <v>78.98</v>
      </c>
      <c r="D1285" s="2" t="s">
        <v>2527</v>
      </c>
      <c r="H1285" s="2" t="s">
        <v>3780</v>
      </c>
      <c r="J1285" s="7" t="str">
        <f t="shared" si="237"/>
        <v>Volens</v>
      </c>
      <c r="K1285" s="7" t="str">
        <f t="shared" si="238"/>
        <v xml:space="preserve">VA  </v>
      </c>
      <c r="L1285" s="7" t="str">
        <f t="shared" si="242"/>
        <v xml:space="preserve">VA </v>
      </c>
      <c r="M1285" s="7" t="str">
        <f t="shared" si="243"/>
        <v xml:space="preserve">VA </v>
      </c>
      <c r="N1285" s="9">
        <f t="shared" si="244"/>
        <v>36.950000000000003</v>
      </c>
      <c r="O1285" s="9">
        <f t="shared" si="245"/>
        <v>78.98</v>
      </c>
    </row>
    <row r="1286" spans="1:15" x14ac:dyDescent="0.2">
      <c r="A1286" s="1" t="s">
        <v>2528</v>
      </c>
      <c r="B1286" s="2">
        <v>37.85</v>
      </c>
      <c r="C1286" s="2">
        <v>75.48</v>
      </c>
      <c r="D1286" s="2" t="s">
        <v>2529</v>
      </c>
      <c r="E1286" s="2" t="s">
        <v>2530</v>
      </c>
      <c r="H1286" s="2" t="s">
        <v>3781</v>
      </c>
      <c r="J1286" s="7" t="str">
        <f t="shared" si="237"/>
        <v>Wallops St</v>
      </c>
      <c r="K1286" s="7" t="str">
        <f t="shared" si="238"/>
        <v xml:space="preserve">,VA </v>
      </c>
      <c r="L1286" s="7" t="str">
        <f t="shared" si="242"/>
        <v>,VA</v>
      </c>
      <c r="M1286" s="7" t="str">
        <f t="shared" si="243"/>
        <v>VA</v>
      </c>
      <c r="N1286" s="9">
        <f t="shared" si="244"/>
        <v>37.85</v>
      </c>
      <c r="O1286" s="9">
        <f t="shared" si="245"/>
        <v>75.48</v>
      </c>
    </row>
    <row r="1287" spans="1:15" x14ac:dyDescent="0.2">
      <c r="A1287" s="4"/>
      <c r="H1287" s="2" t="s">
        <v>2726</v>
      </c>
      <c r="J1287" s="7"/>
      <c r="K1287" s="7"/>
      <c r="L1287" s="7"/>
      <c r="M1287" s="7"/>
      <c r="N1287" s="9"/>
      <c r="O1287" s="9"/>
    </row>
    <row r="1288" spans="1:15" x14ac:dyDescent="0.2">
      <c r="A1288" s="1" t="s">
        <v>38</v>
      </c>
      <c r="H1288" s="2" t="s">
        <v>2726</v>
      </c>
      <c r="J1288" s="7"/>
      <c r="K1288" s="7"/>
      <c r="L1288" s="7"/>
      <c r="M1288" s="7"/>
      <c r="N1288" s="9"/>
      <c r="O1288" s="9"/>
    </row>
    <row r="1289" spans="1:15" x14ac:dyDescent="0.2">
      <c r="A1289" s="4"/>
      <c r="H1289" s="2" t="s">
        <v>2726</v>
      </c>
      <c r="J1289" s="7"/>
      <c r="K1289" s="7"/>
      <c r="L1289" s="7"/>
      <c r="M1289" s="7"/>
      <c r="N1289" s="9"/>
      <c r="O1289" s="9"/>
    </row>
    <row r="1290" spans="1:15" x14ac:dyDescent="0.2">
      <c r="A1290" s="1" t="s">
        <v>2531</v>
      </c>
      <c r="B1290" s="2">
        <v>48.8</v>
      </c>
      <c r="C1290" s="2">
        <v>122.53</v>
      </c>
      <c r="D1290" s="2" t="s">
        <v>2532</v>
      </c>
      <c r="H1290" s="2" t="s">
        <v>3782</v>
      </c>
      <c r="J1290" s="7" t="str">
        <f t="shared" si="237"/>
        <v>Bellingham</v>
      </c>
      <c r="K1290" s="7" t="str">
        <f t="shared" si="238"/>
        <v xml:space="preserve">WA  </v>
      </c>
      <c r="L1290" s="7" t="str">
        <f t="shared" ref="L1290:L1322" si="246">LEFT(K1290,LEN(K1290)-1)</f>
        <v xml:space="preserve">WA </v>
      </c>
      <c r="M1290" s="7" t="str">
        <f t="shared" ref="M1290:M1322" si="247">SUBSTITUTE(L1290,",","")</f>
        <v xml:space="preserve">WA </v>
      </c>
      <c r="N1290" s="9">
        <f t="shared" ref="N1290:N1322" si="248">B1290</f>
        <v>48.8</v>
      </c>
      <c r="O1290" s="9">
        <f t="shared" ref="O1290:O1322" si="249">C1290</f>
        <v>122.53</v>
      </c>
    </row>
    <row r="1291" spans="1:15" x14ac:dyDescent="0.2">
      <c r="A1291" s="1" t="s">
        <v>2533</v>
      </c>
      <c r="B1291" s="2">
        <v>47.48</v>
      </c>
      <c r="C1291" s="2">
        <v>122.77</v>
      </c>
      <c r="D1291" s="2" t="s">
        <v>2534</v>
      </c>
      <c r="H1291" s="2" t="s">
        <v>3783</v>
      </c>
      <c r="J1291" s="7" t="str">
        <f t="shared" si="237"/>
        <v>Bremerton</v>
      </c>
      <c r="K1291" s="7" t="str">
        <f t="shared" si="238"/>
        <v xml:space="preserve">WA  </v>
      </c>
      <c r="L1291" s="7" t="str">
        <f t="shared" si="246"/>
        <v xml:space="preserve">WA </v>
      </c>
      <c r="M1291" s="7" t="str">
        <f t="shared" si="247"/>
        <v xml:space="preserve">WA </v>
      </c>
      <c r="N1291" s="9">
        <f t="shared" si="248"/>
        <v>47.48</v>
      </c>
      <c r="O1291" s="9">
        <f t="shared" si="249"/>
        <v>122.77</v>
      </c>
    </row>
    <row r="1292" spans="1:15" x14ac:dyDescent="0.2">
      <c r="A1292" s="1" t="s">
        <v>2535</v>
      </c>
      <c r="B1292" s="2">
        <v>48.5</v>
      </c>
      <c r="C1292" s="2">
        <v>122.33</v>
      </c>
      <c r="D1292" s="2" t="s">
        <v>2536</v>
      </c>
      <c r="H1292" s="2" t="s">
        <v>3784</v>
      </c>
      <c r="J1292" s="7" t="str">
        <f t="shared" si="237"/>
        <v>Burlington</v>
      </c>
      <c r="K1292" s="7" t="str">
        <f t="shared" si="238"/>
        <v xml:space="preserve">WA  </v>
      </c>
      <c r="L1292" s="7" t="str">
        <f t="shared" si="246"/>
        <v xml:space="preserve">WA </v>
      </c>
      <c r="M1292" s="7" t="str">
        <f t="shared" si="247"/>
        <v xml:space="preserve">WA </v>
      </c>
      <c r="N1292" s="9">
        <f t="shared" si="248"/>
        <v>48.5</v>
      </c>
      <c r="O1292" s="9">
        <f t="shared" si="249"/>
        <v>122.33</v>
      </c>
    </row>
    <row r="1293" spans="1:15" x14ac:dyDescent="0.2">
      <c r="A1293" s="1" t="s">
        <v>2537</v>
      </c>
      <c r="B1293" s="2">
        <v>48.88</v>
      </c>
      <c r="C1293" s="2">
        <v>118.47</v>
      </c>
      <c r="D1293" s="2" t="s">
        <v>2538</v>
      </c>
      <c r="H1293" s="2" t="s">
        <v>3785</v>
      </c>
      <c r="J1293" s="7" t="str">
        <f t="shared" si="237"/>
        <v>Colville</v>
      </c>
      <c r="K1293" s="7" t="str">
        <f t="shared" si="238"/>
        <v xml:space="preserve">WA  </v>
      </c>
      <c r="L1293" s="7" t="str">
        <f t="shared" si="246"/>
        <v xml:space="preserve">WA </v>
      </c>
      <c r="M1293" s="7" t="str">
        <f t="shared" si="247"/>
        <v xml:space="preserve">WA </v>
      </c>
      <c r="N1293" s="9">
        <f t="shared" si="248"/>
        <v>48.88</v>
      </c>
      <c r="O1293" s="9">
        <f t="shared" si="249"/>
        <v>118.47</v>
      </c>
    </row>
    <row r="1294" spans="1:15" x14ac:dyDescent="0.2">
      <c r="A1294" s="1" t="s">
        <v>2539</v>
      </c>
      <c r="B1294" s="2">
        <v>47.32</v>
      </c>
      <c r="C1294" s="2">
        <v>119.52</v>
      </c>
      <c r="D1294" s="2" t="s">
        <v>2540</v>
      </c>
      <c r="H1294" s="2" t="s">
        <v>3786</v>
      </c>
      <c r="J1294" s="7" t="str">
        <f t="shared" si="237"/>
        <v>Ephrata</v>
      </c>
      <c r="K1294" s="7" t="str">
        <f t="shared" si="238"/>
        <v xml:space="preserve">WA  </v>
      </c>
      <c r="L1294" s="7" t="str">
        <f t="shared" si="246"/>
        <v xml:space="preserve">WA </v>
      </c>
      <c r="M1294" s="7" t="str">
        <f t="shared" si="247"/>
        <v xml:space="preserve">WA </v>
      </c>
      <c r="N1294" s="9">
        <f t="shared" si="248"/>
        <v>47.32</v>
      </c>
      <c r="O1294" s="9">
        <f t="shared" si="249"/>
        <v>119.52</v>
      </c>
    </row>
    <row r="1295" spans="1:15" x14ac:dyDescent="0.2">
      <c r="A1295" s="1" t="s">
        <v>2541</v>
      </c>
      <c r="B1295" s="2">
        <v>47.92</v>
      </c>
      <c r="C1295" s="2">
        <v>122.28</v>
      </c>
      <c r="D1295" s="2" t="s">
        <v>2542</v>
      </c>
      <c r="H1295" s="2" t="s">
        <v>3787</v>
      </c>
      <c r="J1295" s="7" t="str">
        <f t="shared" si="237"/>
        <v>Everet/Paine</v>
      </c>
      <c r="K1295" s="7" t="str">
        <f t="shared" si="238"/>
        <v xml:space="preserve">WA  </v>
      </c>
      <c r="L1295" s="7" t="str">
        <f t="shared" si="246"/>
        <v xml:space="preserve">WA </v>
      </c>
      <c r="M1295" s="7" t="str">
        <f t="shared" si="247"/>
        <v xml:space="preserve">WA </v>
      </c>
      <c r="N1295" s="9">
        <f t="shared" si="248"/>
        <v>47.92</v>
      </c>
      <c r="O1295" s="9">
        <f t="shared" si="249"/>
        <v>122.28</v>
      </c>
    </row>
    <row r="1296" spans="1:15" x14ac:dyDescent="0.2">
      <c r="A1296" s="1" t="s">
        <v>2543</v>
      </c>
      <c r="B1296" s="2">
        <v>47.62</v>
      </c>
      <c r="C1296" s="2">
        <v>117.65</v>
      </c>
      <c r="D1296" s="2" t="s">
        <v>2544</v>
      </c>
      <c r="H1296" s="2" t="s">
        <v>3788</v>
      </c>
      <c r="J1296" s="7" t="str">
        <f t="shared" si="237"/>
        <v>Fairchild</v>
      </c>
      <c r="K1296" s="7" t="str">
        <f t="shared" si="238"/>
        <v xml:space="preserve">WA  </v>
      </c>
      <c r="L1296" s="7" t="str">
        <f t="shared" si="246"/>
        <v xml:space="preserve">WA </v>
      </c>
      <c r="M1296" s="7" t="str">
        <f t="shared" si="247"/>
        <v xml:space="preserve">WA </v>
      </c>
      <c r="N1296" s="9">
        <f t="shared" si="248"/>
        <v>47.62</v>
      </c>
      <c r="O1296" s="9">
        <f t="shared" si="249"/>
        <v>117.65</v>
      </c>
    </row>
    <row r="1297" spans="1:15" x14ac:dyDescent="0.2">
      <c r="A1297" s="1" t="s">
        <v>2545</v>
      </c>
      <c r="B1297" s="2">
        <v>47.08</v>
      </c>
      <c r="C1297" s="2">
        <v>122.58</v>
      </c>
      <c r="D1297" s="2" t="s">
        <v>71</v>
      </c>
      <c r="E1297" s="2" t="s">
        <v>2546</v>
      </c>
      <c r="H1297" s="2" t="s">
        <v>3789</v>
      </c>
      <c r="J1297" s="7" t="str">
        <f t="shared" si="237"/>
        <v>Fort Lewi</v>
      </c>
      <c r="K1297" s="7" t="str">
        <f t="shared" si="238"/>
        <v xml:space="preserve">,WA </v>
      </c>
      <c r="L1297" s="7" t="str">
        <f t="shared" si="246"/>
        <v>,WA</v>
      </c>
      <c r="M1297" s="7" t="str">
        <f t="shared" si="247"/>
        <v>WA</v>
      </c>
      <c r="N1297" s="9">
        <f t="shared" si="248"/>
        <v>47.08</v>
      </c>
      <c r="O1297" s="9">
        <f t="shared" si="249"/>
        <v>122.58</v>
      </c>
    </row>
    <row r="1298" spans="1:15" x14ac:dyDescent="0.2">
      <c r="A1298" s="1" t="s">
        <v>2547</v>
      </c>
      <c r="B1298" s="2">
        <v>46.57</v>
      </c>
      <c r="C1298" s="2">
        <v>119.6</v>
      </c>
      <c r="D1298" s="2" t="s">
        <v>2548</v>
      </c>
      <c r="H1298" s="2" t="s">
        <v>3790</v>
      </c>
      <c r="J1298" s="7" t="str">
        <f t="shared" si="237"/>
        <v>Hanford</v>
      </c>
      <c r="K1298" s="7" t="str">
        <f t="shared" si="238"/>
        <v xml:space="preserve">WA  </v>
      </c>
      <c r="L1298" s="7" t="str">
        <f t="shared" si="246"/>
        <v xml:space="preserve">WA </v>
      </c>
      <c r="M1298" s="7" t="str">
        <f t="shared" si="247"/>
        <v xml:space="preserve">WA </v>
      </c>
      <c r="N1298" s="9">
        <f t="shared" si="248"/>
        <v>46.57</v>
      </c>
      <c r="O1298" s="9">
        <f t="shared" si="249"/>
        <v>119.6</v>
      </c>
    </row>
    <row r="1299" spans="1:15" x14ac:dyDescent="0.2">
      <c r="A1299" s="1" t="s">
        <v>2549</v>
      </c>
      <c r="B1299" s="2">
        <v>46.97</v>
      </c>
      <c r="C1299" s="2">
        <v>123.97</v>
      </c>
      <c r="D1299" s="2" t="s">
        <v>2550</v>
      </c>
      <c r="H1299" s="2" t="s">
        <v>3791</v>
      </c>
      <c r="J1299" s="7" t="str">
        <f t="shared" si="237"/>
        <v>Hoquiam</v>
      </c>
      <c r="K1299" s="7" t="str">
        <f t="shared" si="238"/>
        <v xml:space="preserve">WA  </v>
      </c>
      <c r="L1299" s="7" t="str">
        <f t="shared" si="246"/>
        <v xml:space="preserve">WA </v>
      </c>
      <c r="M1299" s="7" t="str">
        <f t="shared" si="247"/>
        <v xml:space="preserve">WA </v>
      </c>
      <c r="N1299" s="9">
        <f t="shared" si="248"/>
        <v>46.97</v>
      </c>
      <c r="O1299" s="9">
        <f t="shared" si="249"/>
        <v>123.97</v>
      </c>
    </row>
    <row r="1300" spans="1:15" x14ac:dyDescent="0.2">
      <c r="A1300" s="1" t="s">
        <v>2551</v>
      </c>
      <c r="B1300" s="2">
        <v>47.15</v>
      </c>
      <c r="C1300" s="2">
        <v>122.48</v>
      </c>
      <c r="D1300" s="2" t="s">
        <v>2552</v>
      </c>
      <c r="E1300" s="2" t="s">
        <v>2553</v>
      </c>
      <c r="H1300" s="2" t="s">
        <v>3792</v>
      </c>
      <c r="J1300" s="7" t="str">
        <f t="shared" si="237"/>
        <v>Mcchord AF</v>
      </c>
      <c r="K1300" s="7" t="str">
        <f t="shared" si="238"/>
        <v xml:space="preserve">,WA </v>
      </c>
      <c r="L1300" s="7" t="str">
        <f t="shared" si="246"/>
        <v>,WA</v>
      </c>
      <c r="M1300" s="7" t="str">
        <f t="shared" si="247"/>
        <v>WA</v>
      </c>
      <c r="N1300" s="9">
        <f t="shared" si="248"/>
        <v>47.15</v>
      </c>
      <c r="O1300" s="9">
        <f t="shared" si="249"/>
        <v>122.48</v>
      </c>
    </row>
    <row r="1301" spans="1:15" x14ac:dyDescent="0.2">
      <c r="A1301" s="1" t="s">
        <v>2554</v>
      </c>
      <c r="B1301" s="2">
        <v>47.2</v>
      </c>
      <c r="C1301" s="2">
        <v>119.32</v>
      </c>
      <c r="D1301" s="2" t="s">
        <v>2555</v>
      </c>
      <c r="E1301" s="2" t="s">
        <v>2556</v>
      </c>
      <c r="H1301" s="2" t="s">
        <v>3793</v>
      </c>
      <c r="J1301" s="7" t="str">
        <f t="shared" si="237"/>
        <v>Moses Lak</v>
      </c>
      <c r="K1301" s="7" t="str">
        <f t="shared" si="238"/>
        <v xml:space="preserve">,WA </v>
      </c>
      <c r="L1301" s="7" t="str">
        <f t="shared" si="246"/>
        <v>,WA</v>
      </c>
      <c r="M1301" s="7" t="str">
        <f t="shared" si="247"/>
        <v>WA</v>
      </c>
      <c r="N1301" s="9">
        <f t="shared" si="248"/>
        <v>47.2</v>
      </c>
      <c r="O1301" s="9">
        <f t="shared" si="249"/>
        <v>119.32</v>
      </c>
    </row>
    <row r="1302" spans="1:15" x14ac:dyDescent="0.2">
      <c r="A1302" s="1" t="s">
        <v>2557</v>
      </c>
      <c r="B1302" s="2">
        <v>48.25</v>
      </c>
      <c r="C1302" s="2">
        <v>122.68</v>
      </c>
      <c r="D1302" s="2" t="s">
        <v>2558</v>
      </c>
      <c r="E1302" s="2" t="s">
        <v>2559</v>
      </c>
      <c r="H1302" s="2" t="s">
        <v>3794</v>
      </c>
      <c r="J1302" s="7" t="str">
        <f t="shared" ref="J1302:J1365" si="250">LEFT(H1302,LEN(H1302)-5)</f>
        <v>Oak Harbo</v>
      </c>
      <c r="K1302" s="7" t="str">
        <f t="shared" ref="K1302:K1365" si="251">RIGHT(H1302,4)</f>
        <v xml:space="preserve">,WA </v>
      </c>
      <c r="L1302" s="7" t="str">
        <f t="shared" si="246"/>
        <v>,WA</v>
      </c>
      <c r="M1302" s="7" t="str">
        <f t="shared" si="247"/>
        <v>WA</v>
      </c>
      <c r="N1302" s="9">
        <f t="shared" si="248"/>
        <v>48.25</v>
      </c>
      <c r="O1302" s="9">
        <f t="shared" si="249"/>
        <v>122.68</v>
      </c>
    </row>
    <row r="1303" spans="1:15" x14ac:dyDescent="0.2">
      <c r="A1303" s="1" t="s">
        <v>2560</v>
      </c>
      <c r="B1303" s="2">
        <v>46.97</v>
      </c>
      <c r="C1303" s="2">
        <v>122.9</v>
      </c>
      <c r="D1303" s="2" t="s">
        <v>2561</v>
      </c>
      <c r="H1303" s="2" t="s">
        <v>3795</v>
      </c>
      <c r="J1303" s="7" t="str">
        <f t="shared" si="250"/>
        <v>Olympia</v>
      </c>
      <c r="K1303" s="7" t="str">
        <f t="shared" si="251"/>
        <v xml:space="preserve">WA  </v>
      </c>
      <c r="L1303" s="7" t="str">
        <f t="shared" si="246"/>
        <v xml:space="preserve">WA </v>
      </c>
      <c r="M1303" s="7" t="str">
        <f t="shared" si="247"/>
        <v xml:space="preserve">WA </v>
      </c>
      <c r="N1303" s="9">
        <f t="shared" si="248"/>
        <v>46.97</v>
      </c>
      <c r="O1303" s="9">
        <f t="shared" si="249"/>
        <v>122.9</v>
      </c>
    </row>
    <row r="1304" spans="1:15" x14ac:dyDescent="0.2">
      <c r="A1304" s="1" t="s">
        <v>2562</v>
      </c>
      <c r="B1304" s="2">
        <v>48.42</v>
      </c>
      <c r="C1304" s="2">
        <v>119.53</v>
      </c>
      <c r="D1304" s="2" t="s">
        <v>2563</v>
      </c>
      <c r="H1304" s="2" t="s">
        <v>3796</v>
      </c>
      <c r="J1304" s="7" t="str">
        <f t="shared" si="250"/>
        <v>Omak</v>
      </c>
      <c r="K1304" s="7" t="str">
        <f t="shared" si="251"/>
        <v xml:space="preserve">WA  </v>
      </c>
      <c r="L1304" s="7" t="str">
        <f t="shared" si="246"/>
        <v xml:space="preserve">WA </v>
      </c>
      <c r="M1304" s="7" t="str">
        <f t="shared" si="247"/>
        <v xml:space="preserve">WA </v>
      </c>
      <c r="N1304" s="9">
        <f t="shared" si="248"/>
        <v>48.42</v>
      </c>
      <c r="O1304" s="9">
        <f t="shared" si="249"/>
        <v>119.53</v>
      </c>
    </row>
    <row r="1305" spans="1:15" x14ac:dyDescent="0.2">
      <c r="A1305" s="1" t="s">
        <v>2564</v>
      </c>
      <c r="B1305" s="2">
        <v>46.27</v>
      </c>
      <c r="C1305" s="2">
        <v>119.12</v>
      </c>
      <c r="D1305" s="2" t="s">
        <v>2565</v>
      </c>
      <c r="H1305" s="2" t="s">
        <v>3797</v>
      </c>
      <c r="J1305" s="7" t="str">
        <f t="shared" si="250"/>
        <v>Pasco</v>
      </c>
      <c r="K1305" s="7" t="str">
        <f t="shared" si="251"/>
        <v xml:space="preserve">WA  </v>
      </c>
      <c r="L1305" s="7" t="str">
        <f t="shared" si="246"/>
        <v xml:space="preserve">WA </v>
      </c>
      <c r="M1305" s="7" t="str">
        <f t="shared" si="247"/>
        <v xml:space="preserve">WA </v>
      </c>
      <c r="N1305" s="9">
        <f t="shared" si="248"/>
        <v>46.27</v>
      </c>
      <c r="O1305" s="9">
        <f t="shared" si="249"/>
        <v>119.12</v>
      </c>
    </row>
    <row r="1306" spans="1:15" x14ac:dyDescent="0.2">
      <c r="A1306" s="1" t="s">
        <v>2566</v>
      </c>
      <c r="B1306" s="2">
        <v>48.12</v>
      </c>
      <c r="C1306" s="2">
        <v>123.5</v>
      </c>
      <c r="D1306" s="2" t="s">
        <v>268</v>
      </c>
      <c r="E1306" s="2" t="s">
        <v>2567</v>
      </c>
      <c r="H1306" s="2" t="s">
        <v>3798</v>
      </c>
      <c r="J1306" s="7" t="str">
        <f t="shared" si="250"/>
        <v>Port Angele</v>
      </c>
      <c r="K1306" s="7" t="str">
        <f t="shared" si="251"/>
        <v xml:space="preserve">,WA </v>
      </c>
      <c r="L1306" s="7" t="str">
        <f t="shared" si="246"/>
        <v>,WA</v>
      </c>
      <c r="M1306" s="7" t="str">
        <f t="shared" si="247"/>
        <v>WA</v>
      </c>
      <c r="N1306" s="9">
        <f t="shared" si="248"/>
        <v>48.12</v>
      </c>
      <c r="O1306" s="9">
        <f t="shared" si="249"/>
        <v>123.5</v>
      </c>
    </row>
    <row r="1307" spans="1:15" x14ac:dyDescent="0.2">
      <c r="A1307" s="1" t="s">
        <v>2568</v>
      </c>
      <c r="B1307" s="2">
        <v>48.22</v>
      </c>
      <c r="C1307" s="2">
        <v>123.67</v>
      </c>
      <c r="D1307" s="2" t="s">
        <v>268</v>
      </c>
      <c r="E1307" s="2" t="s">
        <v>2567</v>
      </c>
      <c r="H1307" s="2" t="s">
        <v>3798</v>
      </c>
      <c r="J1307" s="7" t="str">
        <f t="shared" si="250"/>
        <v>Port Angele</v>
      </c>
      <c r="K1307" s="7" t="str">
        <f t="shared" si="251"/>
        <v xml:space="preserve">,WA </v>
      </c>
      <c r="L1307" s="7" t="str">
        <f t="shared" si="246"/>
        <v>,WA</v>
      </c>
      <c r="M1307" s="7" t="str">
        <f t="shared" si="247"/>
        <v>WA</v>
      </c>
      <c r="N1307" s="9">
        <f t="shared" si="248"/>
        <v>48.22</v>
      </c>
      <c r="O1307" s="9">
        <f t="shared" si="249"/>
        <v>123.67</v>
      </c>
    </row>
    <row r="1308" spans="1:15" x14ac:dyDescent="0.2">
      <c r="A1308" s="1" t="s">
        <v>2569</v>
      </c>
      <c r="B1308" s="2">
        <v>46.75</v>
      </c>
      <c r="C1308" s="2">
        <v>117.12</v>
      </c>
      <c r="D1308" s="2" t="s">
        <v>2570</v>
      </c>
      <c r="H1308" s="2" t="s">
        <v>3799</v>
      </c>
      <c r="J1308" s="7" t="str">
        <f t="shared" si="250"/>
        <v>Pullman</v>
      </c>
      <c r="K1308" s="7" t="str">
        <f t="shared" si="251"/>
        <v xml:space="preserve">WA  </v>
      </c>
      <c r="L1308" s="7" t="str">
        <f t="shared" si="246"/>
        <v xml:space="preserve">WA </v>
      </c>
      <c r="M1308" s="7" t="str">
        <f t="shared" si="247"/>
        <v xml:space="preserve">WA </v>
      </c>
      <c r="N1308" s="9">
        <f t="shared" si="248"/>
        <v>46.75</v>
      </c>
      <c r="O1308" s="9">
        <f t="shared" si="249"/>
        <v>117.12</v>
      </c>
    </row>
    <row r="1309" spans="1:15" x14ac:dyDescent="0.2">
      <c r="A1309" s="1" t="s">
        <v>2571</v>
      </c>
      <c r="B1309" s="2">
        <v>47.95</v>
      </c>
      <c r="C1309" s="2">
        <v>124.55</v>
      </c>
      <c r="D1309" s="2" t="s">
        <v>2572</v>
      </c>
      <c r="H1309" s="2" t="s">
        <v>3800</v>
      </c>
      <c r="J1309" s="7" t="str">
        <f t="shared" si="250"/>
        <v>Quillayute</v>
      </c>
      <c r="K1309" s="7" t="str">
        <f t="shared" si="251"/>
        <v xml:space="preserve">WA  </v>
      </c>
      <c r="L1309" s="7" t="str">
        <f t="shared" si="246"/>
        <v xml:space="preserve">WA </v>
      </c>
      <c r="M1309" s="7" t="str">
        <f t="shared" si="247"/>
        <v xml:space="preserve">WA </v>
      </c>
      <c r="N1309" s="9">
        <f t="shared" si="248"/>
        <v>47.95</v>
      </c>
      <c r="O1309" s="9">
        <f t="shared" si="249"/>
        <v>124.55</v>
      </c>
    </row>
    <row r="1310" spans="1:15" x14ac:dyDescent="0.2">
      <c r="A1310" s="1" t="s">
        <v>2573</v>
      </c>
      <c r="B1310" s="2">
        <v>47.5</v>
      </c>
      <c r="C1310" s="2">
        <v>122.22</v>
      </c>
      <c r="D1310" s="2" t="s">
        <v>2574</v>
      </c>
      <c r="H1310" s="2" t="s">
        <v>3801</v>
      </c>
      <c r="J1310" s="7" t="str">
        <f t="shared" si="250"/>
        <v>Renton</v>
      </c>
      <c r="K1310" s="7" t="str">
        <f t="shared" si="251"/>
        <v xml:space="preserve">WA  </v>
      </c>
      <c r="L1310" s="7" t="str">
        <f t="shared" si="246"/>
        <v xml:space="preserve">WA </v>
      </c>
      <c r="M1310" s="7" t="str">
        <f t="shared" si="247"/>
        <v xml:space="preserve">WA </v>
      </c>
      <c r="N1310" s="9">
        <f t="shared" si="248"/>
        <v>47.5</v>
      </c>
      <c r="O1310" s="9">
        <f t="shared" si="249"/>
        <v>122.22</v>
      </c>
    </row>
    <row r="1311" spans="1:15" x14ac:dyDescent="0.2">
      <c r="A1311" s="1" t="s">
        <v>2575</v>
      </c>
      <c r="B1311" s="2">
        <v>47.45</v>
      </c>
      <c r="C1311" s="2">
        <v>122.3</v>
      </c>
      <c r="D1311" s="2" t="s">
        <v>2576</v>
      </c>
      <c r="H1311" s="2" t="s">
        <v>3802</v>
      </c>
      <c r="J1311" s="7" t="str">
        <f t="shared" si="250"/>
        <v>Seattle</v>
      </c>
      <c r="K1311" s="7" t="str">
        <f t="shared" si="251"/>
        <v xml:space="preserve">WA  </v>
      </c>
      <c r="L1311" s="7" t="str">
        <f t="shared" si="246"/>
        <v xml:space="preserve">WA </v>
      </c>
      <c r="M1311" s="7" t="str">
        <f t="shared" si="247"/>
        <v xml:space="preserve">WA </v>
      </c>
      <c r="N1311" s="9">
        <f t="shared" si="248"/>
        <v>47.45</v>
      </c>
      <c r="O1311" s="9">
        <f t="shared" si="249"/>
        <v>122.3</v>
      </c>
    </row>
    <row r="1312" spans="1:15" x14ac:dyDescent="0.2">
      <c r="A1312" s="1" t="s">
        <v>2577</v>
      </c>
      <c r="B1312" s="2">
        <v>47.53</v>
      </c>
      <c r="C1312" s="2">
        <v>122.3</v>
      </c>
      <c r="D1312" s="2" t="s">
        <v>2578</v>
      </c>
      <c r="H1312" s="2" t="s">
        <v>3803</v>
      </c>
      <c r="J1312" s="7" t="str">
        <f t="shared" si="250"/>
        <v>Seattle/Boeing</v>
      </c>
      <c r="K1312" s="7" t="str">
        <f t="shared" si="251"/>
        <v xml:space="preserve">WA  </v>
      </c>
      <c r="L1312" s="7" t="str">
        <f t="shared" si="246"/>
        <v xml:space="preserve">WA </v>
      </c>
      <c r="M1312" s="7" t="str">
        <f t="shared" si="247"/>
        <v xml:space="preserve">WA </v>
      </c>
      <c r="N1312" s="9">
        <f t="shared" si="248"/>
        <v>47.53</v>
      </c>
      <c r="O1312" s="9">
        <f t="shared" si="249"/>
        <v>122.3</v>
      </c>
    </row>
    <row r="1313" spans="1:15" x14ac:dyDescent="0.2">
      <c r="A1313" s="1" t="s">
        <v>2579</v>
      </c>
      <c r="B1313" s="2">
        <v>47.25</v>
      </c>
      <c r="C1313" s="2">
        <v>123.15</v>
      </c>
      <c r="D1313" s="2" t="s">
        <v>2580</v>
      </c>
      <c r="H1313" s="2" t="s">
        <v>3804</v>
      </c>
      <c r="J1313" s="7" t="str">
        <f t="shared" si="250"/>
        <v>Shelton</v>
      </c>
      <c r="K1313" s="7" t="str">
        <f t="shared" si="251"/>
        <v xml:space="preserve">WA  </v>
      </c>
      <c r="L1313" s="7" t="str">
        <f t="shared" si="246"/>
        <v xml:space="preserve">WA </v>
      </c>
      <c r="M1313" s="7" t="str">
        <f t="shared" si="247"/>
        <v xml:space="preserve">WA </v>
      </c>
      <c r="N1313" s="9">
        <f t="shared" si="248"/>
        <v>47.25</v>
      </c>
      <c r="O1313" s="9">
        <f t="shared" si="249"/>
        <v>123.15</v>
      </c>
    </row>
    <row r="1314" spans="1:15" x14ac:dyDescent="0.2">
      <c r="A1314" s="1" t="s">
        <v>2581</v>
      </c>
      <c r="B1314" s="2">
        <v>47.63</v>
      </c>
      <c r="C1314" s="2">
        <v>117.53</v>
      </c>
      <c r="D1314" s="2" t="s">
        <v>2582</v>
      </c>
      <c r="H1314" s="2" t="s">
        <v>3805</v>
      </c>
      <c r="J1314" s="7" t="str">
        <f t="shared" si="250"/>
        <v>Spokane</v>
      </c>
      <c r="K1314" s="7" t="str">
        <f t="shared" si="251"/>
        <v xml:space="preserve">WA  </v>
      </c>
      <c r="L1314" s="7" t="str">
        <f t="shared" si="246"/>
        <v xml:space="preserve">WA </v>
      </c>
      <c r="M1314" s="7" t="str">
        <f t="shared" si="247"/>
        <v xml:space="preserve">WA </v>
      </c>
      <c r="N1314" s="9">
        <f t="shared" si="248"/>
        <v>47.63</v>
      </c>
      <c r="O1314" s="9">
        <f t="shared" si="249"/>
        <v>117.53</v>
      </c>
    </row>
    <row r="1315" spans="1:15" x14ac:dyDescent="0.2">
      <c r="A1315" s="1" t="s">
        <v>2583</v>
      </c>
      <c r="B1315" s="2">
        <v>47.67</v>
      </c>
      <c r="C1315" s="2">
        <v>117.33</v>
      </c>
      <c r="D1315" s="2" t="s">
        <v>2582</v>
      </c>
      <c r="H1315" s="2" t="s">
        <v>3805</v>
      </c>
      <c r="J1315" s="7" t="str">
        <f t="shared" si="250"/>
        <v>Spokane</v>
      </c>
      <c r="K1315" s="7" t="str">
        <f t="shared" si="251"/>
        <v xml:space="preserve">WA  </v>
      </c>
      <c r="L1315" s="7" t="str">
        <f t="shared" si="246"/>
        <v xml:space="preserve">WA </v>
      </c>
      <c r="M1315" s="7" t="str">
        <f t="shared" si="247"/>
        <v xml:space="preserve">WA </v>
      </c>
      <c r="N1315" s="9">
        <f t="shared" si="248"/>
        <v>47.67</v>
      </c>
      <c r="O1315" s="9">
        <f t="shared" si="249"/>
        <v>117.33</v>
      </c>
    </row>
    <row r="1316" spans="1:15" x14ac:dyDescent="0.2">
      <c r="A1316" s="1" t="s">
        <v>2584</v>
      </c>
      <c r="B1316" s="2">
        <v>47.28</v>
      </c>
      <c r="C1316" s="2">
        <v>121.33</v>
      </c>
      <c r="D1316" s="2" t="s">
        <v>2585</v>
      </c>
      <c r="E1316" s="2" t="s">
        <v>2586</v>
      </c>
      <c r="H1316" s="2" t="s">
        <v>3806</v>
      </c>
      <c r="J1316" s="7" t="str">
        <f t="shared" si="250"/>
        <v>Stampede Pa</v>
      </c>
      <c r="K1316" s="7" t="str">
        <f t="shared" si="251"/>
        <v xml:space="preserve">,WA </v>
      </c>
      <c r="L1316" s="7" t="str">
        <f t="shared" si="246"/>
        <v>,WA</v>
      </c>
      <c r="M1316" s="7" t="str">
        <f t="shared" si="247"/>
        <v>WA</v>
      </c>
      <c r="N1316" s="9">
        <f t="shared" si="248"/>
        <v>47.28</v>
      </c>
      <c r="O1316" s="9">
        <f t="shared" si="249"/>
        <v>121.33</v>
      </c>
    </row>
    <row r="1317" spans="1:15" x14ac:dyDescent="0.2">
      <c r="A1317" s="1" t="s">
        <v>2587</v>
      </c>
      <c r="B1317" s="2">
        <v>47.27</v>
      </c>
      <c r="C1317" s="2">
        <v>122.58</v>
      </c>
      <c r="D1317" s="2" t="s">
        <v>2588</v>
      </c>
      <c r="H1317" s="2" t="s">
        <v>3807</v>
      </c>
      <c r="J1317" s="7" t="str">
        <f t="shared" si="250"/>
        <v>Tacoma</v>
      </c>
      <c r="K1317" s="7" t="str">
        <f t="shared" si="251"/>
        <v xml:space="preserve">WA  </v>
      </c>
      <c r="L1317" s="7" t="str">
        <f t="shared" si="246"/>
        <v xml:space="preserve">WA </v>
      </c>
      <c r="M1317" s="7" t="str">
        <f t="shared" si="247"/>
        <v xml:space="preserve">WA </v>
      </c>
      <c r="N1317" s="9">
        <f t="shared" si="248"/>
        <v>47.27</v>
      </c>
      <c r="O1317" s="9">
        <f t="shared" si="249"/>
        <v>122.58</v>
      </c>
    </row>
    <row r="1318" spans="1:15" x14ac:dyDescent="0.2">
      <c r="A1318" s="1" t="s">
        <v>2589</v>
      </c>
      <c r="B1318" s="2">
        <v>46.48</v>
      </c>
      <c r="C1318" s="2">
        <v>122.8</v>
      </c>
      <c r="D1318" s="2" t="s">
        <v>2590</v>
      </c>
      <c r="H1318" s="2" t="s">
        <v>3808</v>
      </c>
      <c r="J1318" s="7" t="str">
        <f t="shared" si="250"/>
        <v>Toledo</v>
      </c>
      <c r="K1318" s="7" t="str">
        <f t="shared" si="251"/>
        <v xml:space="preserve">WA  </v>
      </c>
      <c r="L1318" s="7" t="str">
        <f t="shared" si="246"/>
        <v xml:space="preserve">WA </v>
      </c>
      <c r="M1318" s="7" t="str">
        <f t="shared" si="247"/>
        <v xml:space="preserve">WA </v>
      </c>
      <c r="N1318" s="9">
        <f t="shared" si="248"/>
        <v>46.48</v>
      </c>
      <c r="O1318" s="9">
        <f t="shared" si="249"/>
        <v>122.8</v>
      </c>
    </row>
    <row r="1319" spans="1:15" x14ac:dyDescent="0.2">
      <c r="A1319" s="1" t="s">
        <v>2591</v>
      </c>
      <c r="B1319" s="2">
        <v>46.1</v>
      </c>
      <c r="C1319" s="2">
        <v>118.28</v>
      </c>
      <c r="D1319" s="2" t="s">
        <v>2592</v>
      </c>
      <c r="E1319" s="2" t="s">
        <v>2593</v>
      </c>
      <c r="H1319" s="2" t="s">
        <v>3809</v>
      </c>
      <c r="J1319" s="7" t="str">
        <f t="shared" si="250"/>
        <v>Walla Wall</v>
      </c>
      <c r="K1319" s="7" t="str">
        <f t="shared" si="251"/>
        <v xml:space="preserve">,WA </v>
      </c>
      <c r="L1319" s="7" t="str">
        <f t="shared" si="246"/>
        <v>,WA</v>
      </c>
      <c r="M1319" s="7" t="str">
        <f t="shared" si="247"/>
        <v>WA</v>
      </c>
      <c r="N1319" s="9">
        <f t="shared" si="248"/>
        <v>46.1</v>
      </c>
      <c r="O1319" s="9">
        <f t="shared" si="249"/>
        <v>118.28</v>
      </c>
    </row>
    <row r="1320" spans="1:15" x14ac:dyDescent="0.2">
      <c r="A1320" s="1" t="s">
        <v>2594</v>
      </c>
      <c r="B1320" s="2">
        <v>47.4</v>
      </c>
      <c r="C1320" s="2">
        <v>120.2</v>
      </c>
      <c r="D1320" s="2" t="s">
        <v>2595</v>
      </c>
      <c r="H1320" s="2" t="s">
        <v>3810</v>
      </c>
      <c r="J1320" s="7" t="str">
        <f t="shared" si="250"/>
        <v>Wenatchee</v>
      </c>
      <c r="K1320" s="7" t="str">
        <f t="shared" si="251"/>
        <v xml:space="preserve">WA  </v>
      </c>
      <c r="L1320" s="7" t="str">
        <f t="shared" si="246"/>
        <v xml:space="preserve">WA </v>
      </c>
      <c r="M1320" s="7" t="str">
        <f t="shared" si="247"/>
        <v xml:space="preserve">WA </v>
      </c>
      <c r="N1320" s="9">
        <f t="shared" si="248"/>
        <v>47.4</v>
      </c>
      <c r="O1320" s="9">
        <f t="shared" si="249"/>
        <v>120.2</v>
      </c>
    </row>
    <row r="1321" spans="1:15" x14ac:dyDescent="0.2">
      <c r="A1321" s="1" t="s">
        <v>2596</v>
      </c>
      <c r="B1321" s="2">
        <v>48.35</v>
      </c>
      <c r="C1321" s="2">
        <v>122.65</v>
      </c>
      <c r="D1321" s="2" t="s">
        <v>2597</v>
      </c>
      <c r="E1321" s="2" t="s">
        <v>2598</v>
      </c>
      <c r="H1321" s="2" t="s">
        <v>3811</v>
      </c>
      <c r="J1321" s="7" t="str">
        <f t="shared" si="250"/>
        <v>Whidbey I</v>
      </c>
      <c r="K1321" s="7" t="str">
        <f t="shared" si="251"/>
        <v xml:space="preserve">,WA </v>
      </c>
      <c r="L1321" s="7" t="str">
        <f t="shared" si="246"/>
        <v>,WA</v>
      </c>
      <c r="M1321" s="7" t="str">
        <f t="shared" si="247"/>
        <v>WA</v>
      </c>
      <c r="N1321" s="9">
        <f t="shared" si="248"/>
        <v>48.35</v>
      </c>
      <c r="O1321" s="9">
        <f t="shared" si="249"/>
        <v>122.65</v>
      </c>
    </row>
    <row r="1322" spans="1:15" x14ac:dyDescent="0.2">
      <c r="A1322" s="1" t="s">
        <v>2599</v>
      </c>
      <c r="B1322" s="2">
        <v>46.57</v>
      </c>
      <c r="C1322" s="2">
        <v>120.53</v>
      </c>
      <c r="D1322" s="2" t="s">
        <v>2600</v>
      </c>
      <c r="H1322" s="2" t="s">
        <v>3812</v>
      </c>
      <c r="J1322" s="7" t="str">
        <f t="shared" si="250"/>
        <v>Yakima</v>
      </c>
      <c r="K1322" s="7" t="str">
        <f t="shared" si="251"/>
        <v xml:space="preserve">WA  </v>
      </c>
      <c r="L1322" s="7" t="str">
        <f t="shared" si="246"/>
        <v xml:space="preserve">WA </v>
      </c>
      <c r="M1322" s="7" t="str">
        <f t="shared" si="247"/>
        <v xml:space="preserve">WA </v>
      </c>
      <c r="N1322" s="9">
        <f t="shared" si="248"/>
        <v>46.57</v>
      </c>
      <c r="O1322" s="9">
        <f t="shared" si="249"/>
        <v>120.53</v>
      </c>
    </row>
    <row r="1323" spans="1:15" x14ac:dyDescent="0.2">
      <c r="A1323" s="4"/>
      <c r="H1323" s="2" t="s">
        <v>2726</v>
      </c>
      <c r="J1323" s="7"/>
      <c r="K1323" s="7"/>
      <c r="L1323" s="7"/>
      <c r="M1323" s="7"/>
      <c r="N1323" s="9"/>
      <c r="O1323" s="9"/>
    </row>
    <row r="1324" spans="1:15" x14ac:dyDescent="0.2">
      <c r="A1324" s="1" t="s">
        <v>55</v>
      </c>
      <c r="B1324" s="2" t="s">
        <v>37</v>
      </c>
      <c r="H1324" s="2" t="s">
        <v>2726</v>
      </c>
      <c r="J1324" s="7"/>
      <c r="K1324" s="7"/>
      <c r="L1324" s="7"/>
      <c r="M1324" s="7"/>
      <c r="N1324" s="9"/>
      <c r="O1324" s="9"/>
    </row>
    <row r="1325" spans="1:15" x14ac:dyDescent="0.2">
      <c r="A1325" s="4"/>
      <c r="H1325" s="2" t="s">
        <v>2726</v>
      </c>
      <c r="J1325" s="7"/>
      <c r="K1325" s="7"/>
      <c r="L1325" s="7"/>
      <c r="M1325" s="7"/>
      <c r="N1325" s="9"/>
      <c r="O1325" s="9"/>
    </row>
    <row r="1326" spans="1:15" x14ac:dyDescent="0.2">
      <c r="A1326" s="1" t="s">
        <v>2601</v>
      </c>
      <c r="B1326" s="2">
        <v>37.78</v>
      </c>
      <c r="C1326" s="2">
        <v>81.12</v>
      </c>
      <c r="D1326" s="2" t="s">
        <v>2602</v>
      </c>
      <c r="H1326" s="2" t="s">
        <v>3813</v>
      </c>
      <c r="J1326" s="7" t="str">
        <f t="shared" si="250"/>
        <v>Beckley</v>
      </c>
      <c r="K1326" s="7" t="str">
        <f t="shared" si="251"/>
        <v xml:space="preserve">WV  </v>
      </c>
      <c r="L1326" s="7" t="str">
        <f t="shared" ref="L1326:L1337" si="252">LEFT(K1326,LEN(K1326)-1)</f>
        <v xml:space="preserve">WV </v>
      </c>
      <c r="M1326" s="7" t="str">
        <f t="shared" ref="M1326:M1337" si="253">SUBSTITUTE(L1326,",","")</f>
        <v xml:space="preserve">WV </v>
      </c>
      <c r="N1326" s="9">
        <f t="shared" ref="N1326:N1337" si="254">B1326</f>
        <v>37.78</v>
      </c>
      <c r="O1326" s="9">
        <f t="shared" ref="O1326:O1337" si="255">C1326</f>
        <v>81.12</v>
      </c>
    </row>
    <row r="1327" spans="1:15" x14ac:dyDescent="0.2">
      <c r="A1327" s="1" t="s">
        <v>2603</v>
      </c>
      <c r="B1327" s="2">
        <v>37.299999999999997</v>
      </c>
      <c r="C1327" s="2">
        <v>81.22</v>
      </c>
      <c r="D1327" s="2" t="s">
        <v>2604</v>
      </c>
      <c r="H1327" s="2" t="s">
        <v>3814</v>
      </c>
      <c r="J1327" s="7" t="str">
        <f t="shared" si="250"/>
        <v>Bluefield</v>
      </c>
      <c r="K1327" s="7" t="str">
        <f t="shared" si="251"/>
        <v xml:space="preserve">WV  </v>
      </c>
      <c r="L1327" s="7" t="str">
        <f t="shared" si="252"/>
        <v xml:space="preserve">WV </v>
      </c>
      <c r="M1327" s="7" t="str">
        <f t="shared" si="253"/>
        <v xml:space="preserve">WV </v>
      </c>
      <c r="N1327" s="9">
        <f t="shared" si="254"/>
        <v>37.299999999999997</v>
      </c>
      <c r="O1327" s="9">
        <f t="shared" si="255"/>
        <v>81.22</v>
      </c>
    </row>
    <row r="1328" spans="1:15" x14ac:dyDescent="0.2">
      <c r="A1328" s="1" t="s">
        <v>2605</v>
      </c>
      <c r="B1328" s="2">
        <v>38.369999999999997</v>
      </c>
      <c r="C1328" s="2">
        <v>81.599999999999994</v>
      </c>
      <c r="D1328" s="2" t="s">
        <v>2606</v>
      </c>
      <c r="H1328" s="2" t="s">
        <v>3815</v>
      </c>
      <c r="J1328" s="7" t="str">
        <f t="shared" si="250"/>
        <v>Charleston</v>
      </c>
      <c r="K1328" s="7" t="str">
        <f t="shared" si="251"/>
        <v xml:space="preserve">WV  </v>
      </c>
      <c r="L1328" s="7" t="str">
        <f t="shared" si="252"/>
        <v xml:space="preserve">WV </v>
      </c>
      <c r="M1328" s="7" t="str">
        <f t="shared" si="253"/>
        <v xml:space="preserve">WV </v>
      </c>
      <c r="N1328" s="9">
        <f t="shared" si="254"/>
        <v>38.369999999999997</v>
      </c>
      <c r="O1328" s="9">
        <f t="shared" si="255"/>
        <v>81.599999999999994</v>
      </c>
    </row>
    <row r="1329" spans="1:15" x14ac:dyDescent="0.2">
      <c r="A1329" s="1" t="s">
        <v>2607</v>
      </c>
      <c r="B1329" s="2">
        <v>39.28</v>
      </c>
      <c r="C1329" s="2">
        <v>80.23</v>
      </c>
      <c r="D1329" s="2" t="s">
        <v>2608</v>
      </c>
      <c r="H1329" s="2" t="s">
        <v>3816</v>
      </c>
      <c r="J1329" s="7" t="str">
        <f t="shared" si="250"/>
        <v>Clarksburg</v>
      </c>
      <c r="K1329" s="7" t="str">
        <f t="shared" si="251"/>
        <v xml:space="preserve">WV  </v>
      </c>
      <c r="L1329" s="7" t="str">
        <f t="shared" si="252"/>
        <v xml:space="preserve">WV </v>
      </c>
      <c r="M1329" s="7" t="str">
        <f t="shared" si="253"/>
        <v xml:space="preserve">WV </v>
      </c>
      <c r="N1329" s="9">
        <f t="shared" si="254"/>
        <v>39.28</v>
      </c>
      <c r="O1329" s="9">
        <f t="shared" si="255"/>
        <v>80.23</v>
      </c>
    </row>
    <row r="1330" spans="1:15" x14ac:dyDescent="0.2">
      <c r="A1330" s="1" t="s">
        <v>2609</v>
      </c>
      <c r="B1330" s="2">
        <v>38.880000000000003</v>
      </c>
      <c r="C1330" s="2">
        <v>79.849999999999994</v>
      </c>
      <c r="D1330" s="2" t="s">
        <v>2610</v>
      </c>
      <c r="H1330" s="2" t="s">
        <v>3817</v>
      </c>
      <c r="J1330" s="7" t="str">
        <f t="shared" si="250"/>
        <v>Elkins</v>
      </c>
      <c r="K1330" s="7" t="str">
        <f t="shared" si="251"/>
        <v xml:space="preserve">WV  </v>
      </c>
      <c r="L1330" s="7" t="str">
        <f t="shared" si="252"/>
        <v xml:space="preserve">WV </v>
      </c>
      <c r="M1330" s="7" t="str">
        <f t="shared" si="253"/>
        <v xml:space="preserve">WV </v>
      </c>
      <c r="N1330" s="9">
        <f t="shared" si="254"/>
        <v>38.880000000000003</v>
      </c>
      <c r="O1330" s="9">
        <f t="shared" si="255"/>
        <v>79.849999999999994</v>
      </c>
    </row>
    <row r="1331" spans="1:15" x14ac:dyDescent="0.2">
      <c r="A1331" s="1" t="s">
        <v>2611</v>
      </c>
      <c r="B1331" s="2">
        <v>38.369999999999997</v>
      </c>
      <c r="C1331" s="2">
        <v>82.55</v>
      </c>
      <c r="D1331" s="2" t="s">
        <v>2612</v>
      </c>
      <c r="H1331" s="2" t="s">
        <v>3818</v>
      </c>
      <c r="J1331" s="7" t="str">
        <f t="shared" si="250"/>
        <v>Huntington</v>
      </c>
      <c r="K1331" s="7" t="str">
        <f t="shared" si="251"/>
        <v xml:space="preserve">WV  </v>
      </c>
      <c r="L1331" s="7" t="str">
        <f t="shared" si="252"/>
        <v xml:space="preserve">WV </v>
      </c>
      <c r="M1331" s="7" t="str">
        <f t="shared" si="253"/>
        <v xml:space="preserve">WV </v>
      </c>
      <c r="N1331" s="9">
        <f t="shared" si="254"/>
        <v>38.369999999999997</v>
      </c>
      <c r="O1331" s="9">
        <f t="shared" si="255"/>
        <v>82.55</v>
      </c>
    </row>
    <row r="1332" spans="1:15" x14ac:dyDescent="0.2">
      <c r="A1332" s="1" t="s">
        <v>2613</v>
      </c>
      <c r="B1332" s="2">
        <v>37.869999999999997</v>
      </c>
      <c r="C1332" s="2">
        <v>80.400000000000006</v>
      </c>
      <c r="D1332" s="2" t="s">
        <v>2614</v>
      </c>
      <c r="H1332" s="2" t="s">
        <v>3819</v>
      </c>
      <c r="J1332" s="7" t="str">
        <f t="shared" si="250"/>
        <v>Lewisburg</v>
      </c>
      <c r="K1332" s="7" t="str">
        <f t="shared" si="251"/>
        <v xml:space="preserve">WV  </v>
      </c>
      <c r="L1332" s="7" t="str">
        <f t="shared" si="252"/>
        <v xml:space="preserve">WV </v>
      </c>
      <c r="M1332" s="7" t="str">
        <f t="shared" si="253"/>
        <v xml:space="preserve">WV </v>
      </c>
      <c r="N1332" s="9">
        <f t="shared" si="254"/>
        <v>37.869999999999997</v>
      </c>
      <c r="O1332" s="9">
        <f t="shared" si="255"/>
        <v>80.400000000000006</v>
      </c>
    </row>
    <row r="1333" spans="1:15" x14ac:dyDescent="0.2">
      <c r="A1333" s="1" t="s">
        <v>2615</v>
      </c>
      <c r="B1333" s="2">
        <v>39.4</v>
      </c>
      <c r="C1333" s="2">
        <v>77.98</v>
      </c>
      <c r="D1333" s="2" t="s">
        <v>2616</v>
      </c>
      <c r="H1333" s="2" t="s">
        <v>3820</v>
      </c>
      <c r="J1333" s="7" t="str">
        <f t="shared" si="250"/>
        <v>Martinsburg</v>
      </c>
      <c r="K1333" s="7" t="str">
        <f t="shared" si="251"/>
        <v xml:space="preserve">WV  </v>
      </c>
      <c r="L1333" s="7" t="str">
        <f t="shared" si="252"/>
        <v xml:space="preserve">WV </v>
      </c>
      <c r="M1333" s="7" t="str">
        <f t="shared" si="253"/>
        <v xml:space="preserve">WV </v>
      </c>
      <c r="N1333" s="9">
        <f t="shared" si="254"/>
        <v>39.4</v>
      </c>
      <c r="O1333" s="9">
        <f t="shared" si="255"/>
        <v>77.98</v>
      </c>
    </row>
    <row r="1334" spans="1:15" x14ac:dyDescent="0.2">
      <c r="A1334" s="1" t="s">
        <v>2617</v>
      </c>
      <c r="B1334" s="2">
        <v>39.65</v>
      </c>
      <c r="C1334" s="2">
        <v>79.92</v>
      </c>
      <c r="D1334" s="2" t="s">
        <v>2618</v>
      </c>
      <c r="H1334" s="2" t="s">
        <v>3821</v>
      </c>
      <c r="J1334" s="7" t="str">
        <f t="shared" si="250"/>
        <v>Morgantown</v>
      </c>
      <c r="K1334" s="7" t="str">
        <f t="shared" si="251"/>
        <v xml:space="preserve">WV  </v>
      </c>
      <c r="L1334" s="7" t="str">
        <f t="shared" si="252"/>
        <v xml:space="preserve">WV </v>
      </c>
      <c r="M1334" s="7" t="str">
        <f t="shared" si="253"/>
        <v xml:space="preserve">WV </v>
      </c>
      <c r="N1334" s="9">
        <f t="shared" si="254"/>
        <v>39.65</v>
      </c>
      <c r="O1334" s="9">
        <f t="shared" si="255"/>
        <v>79.92</v>
      </c>
    </row>
    <row r="1335" spans="1:15" x14ac:dyDescent="0.2">
      <c r="A1335" s="1" t="s">
        <v>2619</v>
      </c>
      <c r="B1335" s="2">
        <v>39.35</v>
      </c>
      <c r="C1335" s="2">
        <v>81.430000000000007</v>
      </c>
      <c r="D1335" s="2" t="s">
        <v>2620</v>
      </c>
      <c r="H1335" s="2" t="s">
        <v>3822</v>
      </c>
      <c r="J1335" s="7" t="str">
        <f t="shared" si="250"/>
        <v>Parkersburg</v>
      </c>
      <c r="K1335" s="7" t="str">
        <f t="shared" si="251"/>
        <v xml:space="preserve">WV  </v>
      </c>
      <c r="L1335" s="7" t="str">
        <f t="shared" si="252"/>
        <v xml:space="preserve">WV </v>
      </c>
      <c r="M1335" s="7" t="str">
        <f t="shared" si="253"/>
        <v xml:space="preserve">WV </v>
      </c>
      <c r="N1335" s="9">
        <f t="shared" si="254"/>
        <v>39.35</v>
      </c>
      <c r="O1335" s="9">
        <f t="shared" si="255"/>
        <v>81.430000000000007</v>
      </c>
    </row>
    <row r="1336" spans="1:15" x14ac:dyDescent="0.2">
      <c r="A1336" s="1" t="s">
        <v>2621</v>
      </c>
      <c r="B1336" s="2">
        <v>40.18</v>
      </c>
      <c r="C1336" s="2">
        <v>80.650000000000006</v>
      </c>
      <c r="D1336" s="2" t="s">
        <v>2622</v>
      </c>
      <c r="H1336" s="2" t="s">
        <v>3823</v>
      </c>
      <c r="J1336" s="7" t="str">
        <f t="shared" si="250"/>
        <v>Wheeling</v>
      </c>
      <c r="K1336" s="7" t="str">
        <f t="shared" si="251"/>
        <v xml:space="preserve">WV  </v>
      </c>
      <c r="L1336" s="7" t="str">
        <f t="shared" si="252"/>
        <v xml:space="preserve">WV </v>
      </c>
      <c r="M1336" s="7" t="str">
        <f t="shared" si="253"/>
        <v xml:space="preserve">WV </v>
      </c>
      <c r="N1336" s="9">
        <f t="shared" si="254"/>
        <v>40.18</v>
      </c>
      <c r="O1336" s="9">
        <f t="shared" si="255"/>
        <v>80.650000000000006</v>
      </c>
    </row>
    <row r="1337" spans="1:15" x14ac:dyDescent="0.2">
      <c r="A1337" s="1" t="s">
        <v>2623</v>
      </c>
      <c r="B1337" s="2">
        <v>37.46</v>
      </c>
      <c r="C1337" s="2">
        <v>80.2</v>
      </c>
      <c r="D1337" s="2" t="s">
        <v>1845</v>
      </c>
      <c r="E1337" s="2" t="s">
        <v>2624</v>
      </c>
      <c r="H1337" s="2" t="s">
        <v>3824</v>
      </c>
      <c r="J1337" s="7" t="str">
        <f t="shared" si="250"/>
        <v>White Sulp</v>
      </c>
      <c r="K1337" s="7" t="str">
        <f t="shared" si="251"/>
        <v xml:space="preserve">,WV </v>
      </c>
      <c r="L1337" s="7" t="str">
        <f t="shared" si="252"/>
        <v>,WV</v>
      </c>
      <c r="M1337" s="7" t="str">
        <f t="shared" si="253"/>
        <v>WV</v>
      </c>
      <c r="N1337" s="9">
        <f t="shared" si="254"/>
        <v>37.46</v>
      </c>
      <c r="O1337" s="9">
        <f t="shared" si="255"/>
        <v>80.2</v>
      </c>
    </row>
    <row r="1338" spans="1:15" x14ac:dyDescent="0.2">
      <c r="A1338" s="4"/>
      <c r="H1338" s="2" t="s">
        <v>2726</v>
      </c>
      <c r="J1338" s="7"/>
      <c r="K1338" s="7"/>
      <c r="L1338" s="7"/>
      <c r="M1338" s="7"/>
      <c r="N1338" s="9"/>
      <c r="O1338" s="9"/>
    </row>
    <row r="1339" spans="1:15" x14ac:dyDescent="0.2">
      <c r="A1339" s="1" t="s">
        <v>39</v>
      </c>
      <c r="H1339" s="2" t="s">
        <v>2726</v>
      </c>
      <c r="J1339" s="7"/>
      <c r="K1339" s="7"/>
      <c r="L1339" s="7"/>
      <c r="M1339" s="7"/>
      <c r="N1339" s="9"/>
      <c r="O1339" s="9"/>
    </row>
    <row r="1340" spans="1:15" x14ac:dyDescent="0.2">
      <c r="A1340" s="4"/>
      <c r="H1340" s="2" t="s">
        <v>2726</v>
      </c>
      <c r="J1340" s="7"/>
      <c r="K1340" s="7"/>
      <c r="L1340" s="7"/>
      <c r="M1340" s="7"/>
      <c r="N1340" s="9"/>
      <c r="O1340" s="9"/>
    </row>
    <row r="1341" spans="1:15" x14ac:dyDescent="0.2">
      <c r="A1341" s="1" t="s">
        <v>2625</v>
      </c>
      <c r="B1341" s="2">
        <v>44.25</v>
      </c>
      <c r="C1341" s="2">
        <v>88.52</v>
      </c>
      <c r="D1341" s="2" t="s">
        <v>2626</v>
      </c>
      <c r="H1341" s="2" t="s">
        <v>3825</v>
      </c>
      <c r="J1341" s="7" t="str">
        <f t="shared" si="250"/>
        <v>Appleton</v>
      </c>
      <c r="K1341" s="7" t="str">
        <f t="shared" si="251"/>
        <v xml:space="preserve">WI  </v>
      </c>
      <c r="L1341" s="7" t="str">
        <f t="shared" ref="L1341:L1357" si="256">LEFT(K1341,LEN(K1341)-1)</f>
        <v xml:space="preserve">WI </v>
      </c>
      <c r="M1341" s="7" t="str">
        <f t="shared" ref="M1341:M1357" si="257">SUBSTITUTE(L1341,",","")</f>
        <v xml:space="preserve">WI </v>
      </c>
      <c r="N1341" s="9">
        <f t="shared" ref="N1341:N1357" si="258">B1341</f>
        <v>44.25</v>
      </c>
      <c r="O1341" s="9">
        <f t="shared" ref="O1341:O1357" si="259">C1341</f>
        <v>88.52</v>
      </c>
    </row>
    <row r="1342" spans="1:15" x14ac:dyDescent="0.2">
      <c r="A1342" s="1" t="s">
        <v>2627</v>
      </c>
      <c r="B1342" s="2">
        <v>44.87</v>
      </c>
      <c r="C1342" s="2">
        <v>91.48</v>
      </c>
      <c r="D1342" s="2" t="s">
        <v>2628</v>
      </c>
      <c r="E1342" s="2" t="s">
        <v>2629</v>
      </c>
      <c r="H1342" s="2" t="s">
        <v>3826</v>
      </c>
      <c r="J1342" s="7" t="str">
        <f t="shared" si="250"/>
        <v>Eau Clair</v>
      </c>
      <c r="K1342" s="7" t="str">
        <f t="shared" si="251"/>
        <v xml:space="preserve">,WI </v>
      </c>
      <c r="L1342" s="7" t="str">
        <f t="shared" si="256"/>
        <v>,WI</v>
      </c>
      <c r="M1342" s="7" t="str">
        <f t="shared" si="257"/>
        <v>WI</v>
      </c>
      <c r="N1342" s="9">
        <f t="shared" si="258"/>
        <v>44.87</v>
      </c>
      <c r="O1342" s="9">
        <f t="shared" si="259"/>
        <v>91.48</v>
      </c>
    </row>
    <row r="1343" spans="1:15" x14ac:dyDescent="0.2">
      <c r="A1343" s="1" t="s">
        <v>2630</v>
      </c>
      <c r="B1343" s="2">
        <v>44.48</v>
      </c>
      <c r="C1343" s="2">
        <v>88.13</v>
      </c>
      <c r="D1343" s="2" t="s">
        <v>2446</v>
      </c>
      <c r="E1343" s="2" t="s">
        <v>2631</v>
      </c>
      <c r="H1343" s="2" t="s">
        <v>3827</v>
      </c>
      <c r="J1343" s="7" t="str">
        <f t="shared" si="250"/>
        <v>Green Ba</v>
      </c>
      <c r="K1343" s="7" t="str">
        <f t="shared" si="251"/>
        <v xml:space="preserve">,WI </v>
      </c>
      <c r="L1343" s="7" t="str">
        <f t="shared" si="256"/>
        <v>,WI</v>
      </c>
      <c r="M1343" s="7" t="str">
        <f t="shared" si="257"/>
        <v>WI</v>
      </c>
      <c r="N1343" s="9">
        <f t="shared" si="258"/>
        <v>44.48</v>
      </c>
      <c r="O1343" s="9">
        <f t="shared" si="259"/>
        <v>88.13</v>
      </c>
    </row>
    <row r="1344" spans="1:15" x14ac:dyDescent="0.2">
      <c r="A1344" s="1" t="s">
        <v>2632</v>
      </c>
      <c r="B1344" s="2">
        <v>42.62</v>
      </c>
      <c r="C1344" s="2">
        <v>89.03</v>
      </c>
      <c r="D1344" s="2" t="s">
        <v>2633</v>
      </c>
      <c r="H1344" s="2" t="s">
        <v>3828</v>
      </c>
      <c r="J1344" s="7" t="str">
        <f t="shared" si="250"/>
        <v>Janesville</v>
      </c>
      <c r="K1344" s="7" t="str">
        <f t="shared" si="251"/>
        <v xml:space="preserve">WI  </v>
      </c>
      <c r="L1344" s="7" t="str">
        <f t="shared" si="256"/>
        <v xml:space="preserve">WI </v>
      </c>
      <c r="M1344" s="7" t="str">
        <f t="shared" si="257"/>
        <v xml:space="preserve">WI </v>
      </c>
      <c r="N1344" s="9">
        <f t="shared" si="258"/>
        <v>42.62</v>
      </c>
      <c r="O1344" s="9">
        <f t="shared" si="259"/>
        <v>89.03</v>
      </c>
    </row>
    <row r="1345" spans="1:15" x14ac:dyDescent="0.2">
      <c r="A1345" s="1" t="s">
        <v>2634</v>
      </c>
      <c r="B1345" s="2">
        <v>43.87</v>
      </c>
      <c r="C1345" s="2">
        <v>91.25</v>
      </c>
      <c r="D1345" s="2" t="s">
        <v>507</v>
      </c>
      <c r="E1345" s="2" t="s">
        <v>2635</v>
      </c>
      <c r="H1345" s="2" t="s">
        <v>3829</v>
      </c>
      <c r="J1345" s="7" t="str">
        <f t="shared" si="250"/>
        <v>La Cross</v>
      </c>
      <c r="K1345" s="7" t="str">
        <f t="shared" si="251"/>
        <v xml:space="preserve">,WI </v>
      </c>
      <c r="L1345" s="7" t="str">
        <f t="shared" si="256"/>
        <v>,WI</v>
      </c>
      <c r="M1345" s="7" t="str">
        <f t="shared" si="257"/>
        <v>WI</v>
      </c>
      <c r="N1345" s="9">
        <f t="shared" si="258"/>
        <v>43.87</v>
      </c>
      <c r="O1345" s="9">
        <f t="shared" si="259"/>
        <v>91.25</v>
      </c>
    </row>
    <row r="1346" spans="1:15" x14ac:dyDescent="0.2">
      <c r="A1346" s="1" t="s">
        <v>2636</v>
      </c>
      <c r="B1346" s="2">
        <v>43.2</v>
      </c>
      <c r="C1346" s="2">
        <v>90.18</v>
      </c>
      <c r="D1346" s="2" t="s">
        <v>2637</v>
      </c>
      <c r="E1346" s="2" t="s">
        <v>2638</v>
      </c>
      <c r="H1346" s="2" t="s">
        <v>3830</v>
      </c>
      <c r="J1346" s="7" t="str">
        <f t="shared" si="250"/>
        <v>Lone Roc</v>
      </c>
      <c r="K1346" s="7" t="str">
        <f t="shared" si="251"/>
        <v xml:space="preserve">,WI </v>
      </c>
      <c r="L1346" s="7" t="str">
        <f t="shared" si="256"/>
        <v>,WI</v>
      </c>
      <c r="M1346" s="7" t="str">
        <f t="shared" si="257"/>
        <v>WI</v>
      </c>
      <c r="N1346" s="9">
        <f t="shared" si="258"/>
        <v>43.2</v>
      </c>
      <c r="O1346" s="9">
        <f t="shared" si="259"/>
        <v>90.18</v>
      </c>
    </row>
    <row r="1347" spans="1:15" x14ac:dyDescent="0.2">
      <c r="A1347" s="1" t="s">
        <v>2639</v>
      </c>
      <c r="B1347" s="2">
        <v>43.13</v>
      </c>
      <c r="C1347" s="2">
        <v>89.33</v>
      </c>
      <c r="D1347" s="2" t="s">
        <v>2640</v>
      </c>
      <c r="H1347" s="2" t="s">
        <v>3831</v>
      </c>
      <c r="J1347" s="7" t="str">
        <f t="shared" si="250"/>
        <v>Madison</v>
      </c>
      <c r="K1347" s="7" t="str">
        <f t="shared" si="251"/>
        <v xml:space="preserve">WI  </v>
      </c>
      <c r="L1347" s="7" t="str">
        <f t="shared" si="256"/>
        <v xml:space="preserve">WI </v>
      </c>
      <c r="M1347" s="7" t="str">
        <f t="shared" si="257"/>
        <v xml:space="preserve">WI </v>
      </c>
      <c r="N1347" s="9">
        <f t="shared" si="258"/>
        <v>43.13</v>
      </c>
      <c r="O1347" s="9">
        <f t="shared" si="259"/>
        <v>89.33</v>
      </c>
    </row>
    <row r="1348" spans="1:15" x14ac:dyDescent="0.2">
      <c r="A1348" s="1" t="s">
        <v>2641</v>
      </c>
      <c r="B1348" s="2">
        <v>44.13</v>
      </c>
      <c r="C1348" s="2">
        <v>87.67</v>
      </c>
      <c r="D1348" s="2" t="s">
        <v>2642</v>
      </c>
      <c r="H1348" s="2" t="s">
        <v>3832</v>
      </c>
      <c r="J1348" s="7" t="str">
        <f t="shared" si="250"/>
        <v>Manitowac</v>
      </c>
      <c r="K1348" s="7" t="str">
        <f t="shared" si="251"/>
        <v xml:space="preserve">WI  </v>
      </c>
      <c r="L1348" s="7" t="str">
        <f t="shared" si="256"/>
        <v xml:space="preserve">WI </v>
      </c>
      <c r="M1348" s="7" t="str">
        <f t="shared" si="257"/>
        <v xml:space="preserve">WI </v>
      </c>
      <c r="N1348" s="9">
        <f t="shared" si="258"/>
        <v>44.13</v>
      </c>
      <c r="O1348" s="9">
        <f t="shared" si="259"/>
        <v>87.67</v>
      </c>
    </row>
    <row r="1349" spans="1:15" x14ac:dyDescent="0.2">
      <c r="A1349" s="1" t="s">
        <v>2643</v>
      </c>
      <c r="B1349" s="2">
        <v>42.95</v>
      </c>
      <c r="C1349" s="2">
        <v>87.9</v>
      </c>
      <c r="D1349" s="2" t="s">
        <v>2644</v>
      </c>
      <c r="H1349" s="2" t="s">
        <v>3833</v>
      </c>
      <c r="J1349" s="7" t="str">
        <f t="shared" si="250"/>
        <v>Milwaukee</v>
      </c>
      <c r="K1349" s="7" t="str">
        <f t="shared" si="251"/>
        <v xml:space="preserve">WI  </v>
      </c>
      <c r="L1349" s="7" t="str">
        <f t="shared" si="256"/>
        <v xml:space="preserve">WI </v>
      </c>
      <c r="M1349" s="7" t="str">
        <f t="shared" si="257"/>
        <v xml:space="preserve">WI </v>
      </c>
      <c r="N1349" s="9">
        <f t="shared" si="258"/>
        <v>42.95</v>
      </c>
      <c r="O1349" s="9">
        <f t="shared" si="259"/>
        <v>87.9</v>
      </c>
    </row>
    <row r="1350" spans="1:15" x14ac:dyDescent="0.2">
      <c r="A1350" s="1" t="s">
        <v>2645</v>
      </c>
      <c r="B1350" s="2">
        <v>43.12</v>
      </c>
      <c r="C1350" s="2">
        <v>88.05</v>
      </c>
      <c r="D1350" s="2" t="s">
        <v>2644</v>
      </c>
      <c r="H1350" s="2" t="s">
        <v>3833</v>
      </c>
      <c r="J1350" s="7" t="str">
        <f t="shared" si="250"/>
        <v>Milwaukee</v>
      </c>
      <c r="K1350" s="7" t="str">
        <f t="shared" si="251"/>
        <v xml:space="preserve">WI  </v>
      </c>
      <c r="L1350" s="7" t="str">
        <f t="shared" si="256"/>
        <v xml:space="preserve">WI </v>
      </c>
      <c r="M1350" s="7" t="str">
        <f t="shared" si="257"/>
        <v xml:space="preserve">WI </v>
      </c>
      <c r="N1350" s="9">
        <f t="shared" si="258"/>
        <v>43.12</v>
      </c>
      <c r="O1350" s="9">
        <f t="shared" si="259"/>
        <v>88.05</v>
      </c>
    </row>
    <row r="1351" spans="1:15" x14ac:dyDescent="0.2">
      <c r="A1351" s="1" t="s">
        <v>2646</v>
      </c>
      <c r="B1351" s="2">
        <v>44.78</v>
      </c>
      <c r="C1351" s="2">
        <v>89.67</v>
      </c>
      <c r="D1351" s="2" t="s">
        <v>2647</v>
      </c>
      <c r="H1351" s="2" t="s">
        <v>3834</v>
      </c>
      <c r="J1351" s="7" t="str">
        <f t="shared" si="250"/>
        <v>Mosinee</v>
      </c>
      <c r="K1351" s="7" t="str">
        <f t="shared" si="251"/>
        <v xml:space="preserve">WI  </v>
      </c>
      <c r="L1351" s="7" t="str">
        <f t="shared" si="256"/>
        <v xml:space="preserve">WI </v>
      </c>
      <c r="M1351" s="7" t="str">
        <f t="shared" si="257"/>
        <v xml:space="preserve">WI </v>
      </c>
      <c r="N1351" s="9">
        <f t="shared" si="258"/>
        <v>44.78</v>
      </c>
      <c r="O1351" s="9">
        <f t="shared" si="259"/>
        <v>89.67</v>
      </c>
    </row>
    <row r="1352" spans="1:15" x14ac:dyDescent="0.2">
      <c r="A1352" s="1" t="s">
        <v>2648</v>
      </c>
      <c r="B1352" s="2">
        <v>44.22</v>
      </c>
      <c r="C1352" s="2">
        <v>88.53</v>
      </c>
      <c r="D1352" s="2" t="s">
        <v>2649</v>
      </c>
      <c r="H1352" s="2" t="s">
        <v>3835</v>
      </c>
      <c r="J1352" s="7" t="str">
        <f t="shared" si="250"/>
        <v>Neenah</v>
      </c>
      <c r="K1352" s="7" t="str">
        <f t="shared" si="251"/>
        <v xml:space="preserve">WI  </v>
      </c>
      <c r="L1352" s="7" t="str">
        <f t="shared" si="256"/>
        <v xml:space="preserve">WI </v>
      </c>
      <c r="M1352" s="7" t="str">
        <f t="shared" si="257"/>
        <v xml:space="preserve">WI </v>
      </c>
      <c r="N1352" s="9">
        <f t="shared" si="258"/>
        <v>44.22</v>
      </c>
      <c r="O1352" s="9">
        <f t="shared" si="259"/>
        <v>88.53</v>
      </c>
    </row>
    <row r="1353" spans="1:15" x14ac:dyDescent="0.2">
      <c r="A1353" s="1" t="s">
        <v>2650</v>
      </c>
      <c r="B1353" s="2">
        <v>44</v>
      </c>
      <c r="C1353" s="2">
        <v>88.57</v>
      </c>
      <c r="D1353" s="2" t="s">
        <v>2651</v>
      </c>
      <c r="H1353" s="2" t="s">
        <v>3836</v>
      </c>
      <c r="J1353" s="7" t="str">
        <f t="shared" si="250"/>
        <v>Oshkosh</v>
      </c>
      <c r="K1353" s="7" t="str">
        <f t="shared" si="251"/>
        <v xml:space="preserve">WI  </v>
      </c>
      <c r="L1353" s="7" t="str">
        <f t="shared" si="256"/>
        <v xml:space="preserve">WI </v>
      </c>
      <c r="M1353" s="7" t="str">
        <f t="shared" si="257"/>
        <v xml:space="preserve">WI </v>
      </c>
      <c r="N1353" s="9">
        <f t="shared" si="258"/>
        <v>44</v>
      </c>
      <c r="O1353" s="9">
        <f t="shared" si="259"/>
        <v>88.57</v>
      </c>
    </row>
    <row r="1354" spans="1:15" x14ac:dyDescent="0.2">
      <c r="A1354" s="1" t="s">
        <v>2652</v>
      </c>
      <c r="B1354" s="2">
        <v>45.63</v>
      </c>
      <c r="C1354" s="2">
        <v>89.45</v>
      </c>
      <c r="D1354" s="2" t="s">
        <v>2653</v>
      </c>
      <c r="H1354" s="2" t="s">
        <v>3837</v>
      </c>
      <c r="J1354" s="7" t="str">
        <f t="shared" si="250"/>
        <v>Rhinelander</v>
      </c>
      <c r="K1354" s="7" t="str">
        <f t="shared" si="251"/>
        <v xml:space="preserve">WI  </v>
      </c>
      <c r="L1354" s="7" t="str">
        <f t="shared" si="256"/>
        <v xml:space="preserve">WI </v>
      </c>
      <c r="M1354" s="7" t="str">
        <f t="shared" si="257"/>
        <v xml:space="preserve">WI </v>
      </c>
      <c r="N1354" s="9">
        <f t="shared" si="258"/>
        <v>45.63</v>
      </c>
      <c r="O1354" s="9">
        <f t="shared" si="259"/>
        <v>89.45</v>
      </c>
    </row>
    <row r="1355" spans="1:15" x14ac:dyDescent="0.2">
      <c r="A1355" s="1" t="s">
        <v>2654</v>
      </c>
      <c r="B1355" s="2">
        <v>45.48</v>
      </c>
      <c r="C1355" s="2">
        <v>91.72</v>
      </c>
      <c r="D1355" s="2" t="s">
        <v>2655</v>
      </c>
      <c r="E1355" s="2" t="s">
        <v>2656</v>
      </c>
      <c r="H1355" s="2" t="s">
        <v>3838</v>
      </c>
      <c r="J1355" s="7" t="str">
        <f t="shared" si="250"/>
        <v>Rice Lak</v>
      </c>
      <c r="K1355" s="7" t="str">
        <f t="shared" si="251"/>
        <v xml:space="preserve">,WI </v>
      </c>
      <c r="L1355" s="7" t="str">
        <f t="shared" si="256"/>
        <v>,WI</v>
      </c>
      <c r="M1355" s="7" t="str">
        <f t="shared" si="257"/>
        <v>WI</v>
      </c>
      <c r="N1355" s="9">
        <f t="shared" si="258"/>
        <v>45.48</v>
      </c>
      <c r="O1355" s="9">
        <f t="shared" si="259"/>
        <v>91.72</v>
      </c>
    </row>
    <row r="1356" spans="1:15" x14ac:dyDescent="0.2">
      <c r="A1356" s="1" t="s">
        <v>2657</v>
      </c>
      <c r="B1356" s="2">
        <v>43.93</v>
      </c>
      <c r="C1356" s="2">
        <v>90.27</v>
      </c>
      <c r="D1356" s="2" t="s">
        <v>2658</v>
      </c>
      <c r="E1356" s="2" t="s">
        <v>2659</v>
      </c>
      <c r="H1356" s="2" t="s">
        <v>3839</v>
      </c>
      <c r="J1356" s="7" t="str">
        <f t="shared" si="250"/>
        <v>Volk Fl</v>
      </c>
      <c r="K1356" s="7" t="str">
        <f t="shared" si="251"/>
        <v xml:space="preserve">,WI </v>
      </c>
      <c r="L1356" s="7" t="str">
        <f t="shared" si="256"/>
        <v>,WI</v>
      </c>
      <c r="M1356" s="7" t="str">
        <f t="shared" si="257"/>
        <v>WI</v>
      </c>
      <c r="N1356" s="9">
        <f t="shared" si="258"/>
        <v>43.93</v>
      </c>
      <c r="O1356" s="9">
        <f t="shared" si="259"/>
        <v>90.27</v>
      </c>
    </row>
    <row r="1357" spans="1:15" x14ac:dyDescent="0.2">
      <c r="A1357" s="1" t="s">
        <v>2660</v>
      </c>
      <c r="B1357" s="2">
        <v>44.92</v>
      </c>
      <c r="C1357" s="2">
        <v>89.62</v>
      </c>
      <c r="D1357" s="2" t="s">
        <v>2661</v>
      </c>
      <c r="H1357" s="2" t="s">
        <v>3840</v>
      </c>
      <c r="J1357" s="7" t="str">
        <f t="shared" si="250"/>
        <v>Wausau</v>
      </c>
      <c r="K1357" s="7" t="str">
        <f t="shared" si="251"/>
        <v xml:space="preserve">WI  </v>
      </c>
      <c r="L1357" s="7" t="str">
        <f t="shared" si="256"/>
        <v xml:space="preserve">WI </v>
      </c>
      <c r="M1357" s="7" t="str">
        <f t="shared" si="257"/>
        <v xml:space="preserve">WI </v>
      </c>
      <c r="N1357" s="9">
        <f t="shared" si="258"/>
        <v>44.92</v>
      </c>
      <c r="O1357" s="9">
        <f t="shared" si="259"/>
        <v>89.62</v>
      </c>
    </row>
    <row r="1358" spans="1:15" x14ac:dyDescent="0.2">
      <c r="A1358" s="4"/>
      <c r="H1358" s="2" t="s">
        <v>2726</v>
      </c>
      <c r="J1358" s="7"/>
      <c r="K1358" s="7"/>
      <c r="L1358" s="7"/>
      <c r="M1358" s="7"/>
      <c r="N1358" s="9"/>
      <c r="O1358" s="9"/>
    </row>
    <row r="1359" spans="1:15" x14ac:dyDescent="0.2">
      <c r="A1359" s="1" t="s">
        <v>40</v>
      </c>
      <c r="H1359" s="2" t="s">
        <v>2726</v>
      </c>
      <c r="J1359" s="7"/>
      <c r="K1359" s="7"/>
      <c r="L1359" s="7"/>
      <c r="M1359" s="7"/>
      <c r="N1359" s="9"/>
      <c r="O1359" s="9"/>
    </row>
    <row r="1360" spans="1:15" x14ac:dyDescent="0.2">
      <c r="A1360" s="4"/>
      <c r="H1360" s="2" t="s">
        <v>2726</v>
      </c>
      <c r="J1360" s="7"/>
      <c r="K1360" s="7"/>
      <c r="L1360" s="7"/>
      <c r="M1360" s="7"/>
      <c r="N1360" s="9"/>
      <c r="O1360" s="9"/>
    </row>
    <row r="1361" spans="1:15" x14ac:dyDescent="0.2">
      <c r="A1361" s="1" t="s">
        <v>2662</v>
      </c>
      <c r="B1361" s="2">
        <v>42.57</v>
      </c>
      <c r="C1361" s="2">
        <v>110.1</v>
      </c>
      <c r="D1361" s="2" t="s">
        <v>123</v>
      </c>
      <c r="E1361" s="2" t="s">
        <v>2663</v>
      </c>
      <c r="H1361" s="2" t="s">
        <v>3841</v>
      </c>
      <c r="J1361" s="7" t="str">
        <f t="shared" si="250"/>
        <v>Big Pine</v>
      </c>
      <c r="K1361" s="7" t="str">
        <f t="shared" si="251"/>
        <v xml:space="preserve">,WY </v>
      </c>
      <c r="L1361" s="7" t="str">
        <f t="shared" ref="L1361:L1377" si="260">LEFT(K1361,LEN(K1361)-1)</f>
        <v>,WY</v>
      </c>
      <c r="M1361" s="7" t="str">
        <f t="shared" ref="M1361:M1377" si="261">SUBSTITUTE(L1361,",","")</f>
        <v>WY</v>
      </c>
      <c r="N1361" s="9">
        <f t="shared" ref="N1361:O1365" si="262">B1361</f>
        <v>42.57</v>
      </c>
      <c r="O1361" s="9">
        <f t="shared" si="262"/>
        <v>110.1</v>
      </c>
    </row>
    <row r="1362" spans="1:15" x14ac:dyDescent="0.2">
      <c r="A1362" s="1" t="s">
        <v>2664</v>
      </c>
      <c r="B1362" s="2">
        <v>42.92</v>
      </c>
      <c r="C1362" s="2">
        <v>106.47</v>
      </c>
      <c r="D1362" s="2" t="s">
        <v>2665</v>
      </c>
      <c r="H1362" s="2" t="s">
        <v>3842</v>
      </c>
      <c r="J1362" s="7" t="str">
        <f t="shared" si="250"/>
        <v>Casper</v>
      </c>
      <c r="K1362" s="7" t="str">
        <f t="shared" si="251"/>
        <v xml:space="preserve">WY  </v>
      </c>
      <c r="L1362" s="7" t="str">
        <f t="shared" si="260"/>
        <v xml:space="preserve">WY </v>
      </c>
      <c r="M1362" s="7" t="str">
        <f t="shared" si="261"/>
        <v xml:space="preserve">WY </v>
      </c>
      <c r="N1362" s="9">
        <f t="shared" si="262"/>
        <v>42.92</v>
      </c>
      <c r="O1362" s="9">
        <f t="shared" si="262"/>
        <v>106.47</v>
      </c>
    </row>
    <row r="1363" spans="1:15" x14ac:dyDescent="0.2">
      <c r="A1363" s="1" t="s">
        <v>2666</v>
      </c>
      <c r="B1363" s="2">
        <v>41.15</v>
      </c>
      <c r="C1363" s="2">
        <v>104.82</v>
      </c>
      <c r="D1363" s="2" t="s">
        <v>2667</v>
      </c>
      <c r="H1363" s="2" t="s">
        <v>3843</v>
      </c>
      <c r="J1363" s="7" t="str">
        <f t="shared" si="250"/>
        <v>Cheyenne</v>
      </c>
      <c r="K1363" s="7" t="str">
        <f t="shared" si="251"/>
        <v xml:space="preserve">WY  </v>
      </c>
      <c r="L1363" s="7" t="str">
        <f t="shared" si="260"/>
        <v xml:space="preserve">WY </v>
      </c>
      <c r="M1363" s="7" t="str">
        <f t="shared" si="261"/>
        <v xml:space="preserve">WY </v>
      </c>
      <c r="N1363" s="9">
        <f t="shared" si="262"/>
        <v>41.15</v>
      </c>
      <c r="O1363" s="9">
        <f t="shared" si="262"/>
        <v>104.82</v>
      </c>
    </row>
    <row r="1364" spans="1:15" x14ac:dyDescent="0.2">
      <c r="A1364" s="1" t="s">
        <v>2668</v>
      </c>
      <c r="B1364" s="2">
        <v>44.52</v>
      </c>
      <c r="C1364" s="2">
        <v>109.02</v>
      </c>
      <c r="D1364" s="2" t="s">
        <v>2669</v>
      </c>
      <c r="H1364" s="2" t="s">
        <v>3844</v>
      </c>
      <c r="J1364" s="7" t="str">
        <f t="shared" si="250"/>
        <v>Cody</v>
      </c>
      <c r="K1364" s="7" t="str">
        <f t="shared" si="251"/>
        <v xml:space="preserve">WY  </v>
      </c>
      <c r="L1364" s="7" t="str">
        <f t="shared" si="260"/>
        <v xml:space="preserve">WY </v>
      </c>
      <c r="M1364" s="7" t="str">
        <f t="shared" si="261"/>
        <v xml:space="preserve">WY </v>
      </c>
      <c r="N1364" s="9">
        <f t="shared" si="262"/>
        <v>44.52</v>
      </c>
      <c r="O1364" s="9">
        <f t="shared" si="262"/>
        <v>109.02</v>
      </c>
    </row>
    <row r="1365" spans="1:15" x14ac:dyDescent="0.2">
      <c r="A1365" s="1" t="s">
        <v>2670</v>
      </c>
      <c r="B1365" s="2">
        <v>42.75</v>
      </c>
      <c r="C1365" s="2">
        <v>105.38</v>
      </c>
      <c r="D1365" s="2" t="s">
        <v>2671</v>
      </c>
      <c r="H1365" s="2" t="s">
        <v>3845</v>
      </c>
      <c r="J1365" s="7" t="str">
        <f t="shared" si="250"/>
        <v>Douglas</v>
      </c>
      <c r="K1365" s="7" t="str">
        <f t="shared" si="251"/>
        <v xml:space="preserve">WY  </v>
      </c>
      <c r="L1365" s="7" t="str">
        <f t="shared" si="260"/>
        <v xml:space="preserve">WY </v>
      </c>
      <c r="M1365" s="7" t="str">
        <f t="shared" si="261"/>
        <v xml:space="preserve">WY </v>
      </c>
      <c r="N1365" s="9">
        <f t="shared" si="262"/>
        <v>42.75</v>
      </c>
      <c r="O1365" s="9">
        <f t="shared" si="262"/>
        <v>105.38</v>
      </c>
    </row>
    <row r="1366" spans="1:15" x14ac:dyDescent="0.2">
      <c r="A1366" s="1" t="s">
        <v>2672</v>
      </c>
      <c r="B1366" s="2">
        <v>41.33</v>
      </c>
      <c r="C1366" s="2">
        <v>111</v>
      </c>
      <c r="D1366" s="2" t="s">
        <v>2673</v>
      </c>
      <c r="H1366" s="2" t="s">
        <v>3846</v>
      </c>
      <c r="J1366" s="7" t="str">
        <f t="shared" ref="J1366:J1377" si="263">LEFT(H1366,LEN(H1366)-5)</f>
        <v>Evanston</v>
      </c>
      <c r="K1366" s="7" t="str">
        <f t="shared" ref="K1366:K1377" si="264">RIGHT(H1366,4)</f>
        <v xml:space="preserve">WY  </v>
      </c>
      <c r="L1366" s="7" t="str">
        <f t="shared" si="260"/>
        <v xml:space="preserve">WY </v>
      </c>
      <c r="M1366" s="7" t="str">
        <f t="shared" si="261"/>
        <v xml:space="preserve">WY </v>
      </c>
      <c r="N1366" s="9">
        <f t="shared" ref="N1366:N1377" si="265">B1366</f>
        <v>41.33</v>
      </c>
      <c r="O1366" s="9">
        <f t="shared" ref="O1366:O1377" si="266">C1366</f>
        <v>111</v>
      </c>
    </row>
    <row r="1367" spans="1:15" x14ac:dyDescent="0.2">
      <c r="A1367" s="1" t="s">
        <v>2674</v>
      </c>
      <c r="B1367" s="2">
        <v>44.35</v>
      </c>
      <c r="C1367" s="2">
        <v>105.53</v>
      </c>
      <c r="D1367" s="2" t="s">
        <v>2675</v>
      </c>
      <c r="H1367" s="2" t="s">
        <v>3847</v>
      </c>
      <c r="J1367" s="7" t="str">
        <f t="shared" si="263"/>
        <v>Gillette</v>
      </c>
      <c r="K1367" s="7" t="str">
        <f t="shared" si="264"/>
        <v xml:space="preserve">WY  </v>
      </c>
      <c r="L1367" s="7" t="str">
        <f t="shared" si="260"/>
        <v xml:space="preserve">WY </v>
      </c>
      <c r="M1367" s="7" t="str">
        <f t="shared" si="261"/>
        <v xml:space="preserve">WY </v>
      </c>
      <c r="N1367" s="9">
        <f t="shared" si="265"/>
        <v>44.35</v>
      </c>
      <c r="O1367" s="9">
        <f t="shared" si="266"/>
        <v>105.53</v>
      </c>
    </row>
    <row r="1368" spans="1:15" x14ac:dyDescent="0.2">
      <c r="A1368" s="1" t="s">
        <v>2676</v>
      </c>
      <c r="B1368" s="2">
        <v>43.6</v>
      </c>
      <c r="C1368" s="2">
        <v>110.73</v>
      </c>
      <c r="D1368" s="2" t="s">
        <v>2677</v>
      </c>
      <c r="H1368" s="2" t="s">
        <v>3848</v>
      </c>
      <c r="J1368" s="7" t="str">
        <f t="shared" si="263"/>
        <v>Jackson</v>
      </c>
      <c r="K1368" s="7" t="str">
        <f t="shared" si="264"/>
        <v xml:space="preserve">WY  </v>
      </c>
      <c r="L1368" s="7" t="str">
        <f t="shared" si="260"/>
        <v xml:space="preserve">WY </v>
      </c>
      <c r="M1368" s="7" t="str">
        <f t="shared" si="261"/>
        <v xml:space="preserve">WY </v>
      </c>
      <c r="N1368" s="9">
        <f t="shared" si="265"/>
        <v>43.6</v>
      </c>
      <c r="O1368" s="9">
        <f t="shared" si="266"/>
        <v>110.73</v>
      </c>
    </row>
    <row r="1369" spans="1:15" x14ac:dyDescent="0.2">
      <c r="A1369" s="1" t="s">
        <v>2678</v>
      </c>
      <c r="B1369" s="2">
        <v>42.82</v>
      </c>
      <c r="C1369" s="2">
        <v>108.73</v>
      </c>
      <c r="D1369" s="2" t="s">
        <v>2679</v>
      </c>
      <c r="H1369" s="2" t="s">
        <v>3849</v>
      </c>
      <c r="J1369" s="7" t="str">
        <f t="shared" si="263"/>
        <v>Lander</v>
      </c>
      <c r="K1369" s="7" t="str">
        <f t="shared" si="264"/>
        <v xml:space="preserve">WY  </v>
      </c>
      <c r="L1369" s="7" t="str">
        <f t="shared" si="260"/>
        <v xml:space="preserve">WY </v>
      </c>
      <c r="M1369" s="7" t="str">
        <f t="shared" si="261"/>
        <v xml:space="preserve">WY </v>
      </c>
      <c r="N1369" s="9">
        <f t="shared" si="265"/>
        <v>42.82</v>
      </c>
      <c r="O1369" s="9">
        <f t="shared" si="266"/>
        <v>108.73</v>
      </c>
    </row>
    <row r="1370" spans="1:15" x14ac:dyDescent="0.2">
      <c r="A1370" s="1" t="s">
        <v>2680</v>
      </c>
      <c r="B1370" s="2">
        <v>41.32</v>
      </c>
      <c r="C1370" s="2">
        <v>105.68</v>
      </c>
      <c r="D1370" s="2" t="s">
        <v>2681</v>
      </c>
      <c r="H1370" s="2" t="s">
        <v>3850</v>
      </c>
      <c r="J1370" s="7" t="str">
        <f t="shared" si="263"/>
        <v>Laramie</v>
      </c>
      <c r="K1370" s="7" t="str">
        <f t="shared" si="264"/>
        <v xml:space="preserve">WY  </v>
      </c>
      <c r="L1370" s="7" t="str">
        <f t="shared" si="260"/>
        <v xml:space="preserve">WY </v>
      </c>
      <c r="M1370" s="7" t="str">
        <f t="shared" si="261"/>
        <v xml:space="preserve">WY </v>
      </c>
      <c r="N1370" s="9">
        <f t="shared" si="265"/>
        <v>41.32</v>
      </c>
      <c r="O1370" s="9">
        <f t="shared" si="266"/>
        <v>105.68</v>
      </c>
    </row>
    <row r="1371" spans="1:15" x14ac:dyDescent="0.2">
      <c r="A1371" s="1" t="s">
        <v>2682</v>
      </c>
      <c r="B1371" s="2">
        <v>44.35</v>
      </c>
      <c r="C1371" s="2">
        <v>104.81</v>
      </c>
      <c r="D1371" s="2" t="s">
        <v>2683</v>
      </c>
      <c r="H1371" s="2" t="s">
        <v>3851</v>
      </c>
      <c r="J1371" s="7" t="str">
        <f t="shared" si="263"/>
        <v>Moorcroft</v>
      </c>
      <c r="K1371" s="7" t="str">
        <f t="shared" si="264"/>
        <v xml:space="preserve">WY  </v>
      </c>
      <c r="L1371" s="7" t="str">
        <f t="shared" si="260"/>
        <v xml:space="preserve">WY </v>
      </c>
      <c r="M1371" s="7" t="str">
        <f t="shared" si="261"/>
        <v xml:space="preserve">WY </v>
      </c>
      <c r="N1371" s="9">
        <f t="shared" si="265"/>
        <v>44.35</v>
      </c>
      <c r="O1371" s="9">
        <f t="shared" si="266"/>
        <v>104.81</v>
      </c>
    </row>
    <row r="1372" spans="1:15" x14ac:dyDescent="0.2">
      <c r="A1372" s="1" t="s">
        <v>2684</v>
      </c>
      <c r="B1372" s="2">
        <v>41.8</v>
      </c>
      <c r="C1372" s="2">
        <v>107.2</v>
      </c>
      <c r="D1372" s="2" t="s">
        <v>2685</v>
      </c>
      <c r="H1372" s="2" t="s">
        <v>3852</v>
      </c>
      <c r="J1372" s="7" t="str">
        <f t="shared" si="263"/>
        <v>Rawlins</v>
      </c>
      <c r="K1372" s="7" t="str">
        <f t="shared" si="264"/>
        <v xml:space="preserve">WY  </v>
      </c>
      <c r="L1372" s="7" t="str">
        <f t="shared" si="260"/>
        <v xml:space="preserve">WY </v>
      </c>
      <c r="M1372" s="7" t="str">
        <f t="shared" si="261"/>
        <v xml:space="preserve">WY </v>
      </c>
      <c r="N1372" s="9">
        <f t="shared" si="265"/>
        <v>41.8</v>
      </c>
      <c r="O1372" s="9">
        <f t="shared" si="266"/>
        <v>107.2</v>
      </c>
    </row>
    <row r="1373" spans="1:15" x14ac:dyDescent="0.2">
      <c r="A1373" s="1" t="s">
        <v>2686</v>
      </c>
      <c r="B1373" s="2">
        <v>43.05</v>
      </c>
      <c r="C1373" s="2">
        <v>108.45</v>
      </c>
      <c r="D1373" s="2" t="s">
        <v>2687</v>
      </c>
      <c r="H1373" s="2" t="s">
        <v>3853</v>
      </c>
      <c r="J1373" s="7" t="str">
        <f t="shared" si="263"/>
        <v>Riverton</v>
      </c>
      <c r="K1373" s="7" t="str">
        <f t="shared" si="264"/>
        <v xml:space="preserve">WY  </v>
      </c>
      <c r="L1373" s="7" t="str">
        <f t="shared" si="260"/>
        <v xml:space="preserve">WY </v>
      </c>
      <c r="M1373" s="7" t="str">
        <f t="shared" si="261"/>
        <v xml:space="preserve">WY </v>
      </c>
      <c r="N1373" s="9">
        <f t="shared" si="265"/>
        <v>43.05</v>
      </c>
      <c r="O1373" s="9">
        <f t="shared" si="266"/>
        <v>108.45</v>
      </c>
    </row>
    <row r="1374" spans="1:15" x14ac:dyDescent="0.2">
      <c r="A1374" s="1" t="s">
        <v>2688</v>
      </c>
      <c r="B1374" s="2">
        <v>41.6</v>
      </c>
      <c r="C1374" s="2">
        <v>109.07</v>
      </c>
      <c r="D1374" s="2" t="s">
        <v>2689</v>
      </c>
      <c r="E1374" s="2" t="s">
        <v>2690</v>
      </c>
      <c r="H1374" s="2" t="s">
        <v>3854</v>
      </c>
      <c r="J1374" s="7" t="str">
        <f t="shared" si="263"/>
        <v>Rock Spring</v>
      </c>
      <c r="K1374" s="7" t="str">
        <f t="shared" si="264"/>
        <v xml:space="preserve">,WY </v>
      </c>
      <c r="L1374" s="7" t="str">
        <f t="shared" si="260"/>
        <v>,WY</v>
      </c>
      <c r="M1374" s="7" t="str">
        <f t="shared" si="261"/>
        <v>WY</v>
      </c>
      <c r="N1374" s="9">
        <f t="shared" si="265"/>
        <v>41.6</v>
      </c>
      <c r="O1374" s="9">
        <f t="shared" si="266"/>
        <v>109.07</v>
      </c>
    </row>
    <row r="1375" spans="1:15" x14ac:dyDescent="0.2">
      <c r="A1375" s="1" t="s">
        <v>2691</v>
      </c>
      <c r="B1375" s="2">
        <v>44.77</v>
      </c>
      <c r="C1375" s="2">
        <v>106.97</v>
      </c>
      <c r="D1375" s="2" t="s">
        <v>2692</v>
      </c>
      <c r="H1375" s="2" t="s">
        <v>3855</v>
      </c>
      <c r="J1375" s="7" t="str">
        <f t="shared" si="263"/>
        <v>Sheridan</v>
      </c>
      <c r="K1375" s="7" t="str">
        <f t="shared" si="264"/>
        <v xml:space="preserve">WY  </v>
      </c>
      <c r="L1375" s="7" t="str">
        <f t="shared" si="260"/>
        <v xml:space="preserve">WY </v>
      </c>
      <c r="M1375" s="7" t="str">
        <f t="shared" si="261"/>
        <v xml:space="preserve">WY </v>
      </c>
      <c r="N1375" s="9">
        <f t="shared" si="265"/>
        <v>44.77</v>
      </c>
      <c r="O1375" s="9">
        <f t="shared" si="266"/>
        <v>106.97</v>
      </c>
    </row>
    <row r="1376" spans="1:15" x14ac:dyDescent="0.2">
      <c r="A1376" s="1" t="s">
        <v>2693</v>
      </c>
      <c r="B1376" s="2">
        <v>43.97</v>
      </c>
      <c r="C1376" s="2">
        <v>107.97</v>
      </c>
      <c r="D1376" s="2" t="s">
        <v>2694</v>
      </c>
      <c r="H1376" s="2" t="s">
        <v>3856</v>
      </c>
      <c r="J1376" s="7" t="str">
        <f t="shared" si="263"/>
        <v>Worland</v>
      </c>
      <c r="K1376" s="7" t="str">
        <f t="shared" si="264"/>
        <v xml:space="preserve">WY  </v>
      </c>
      <c r="L1376" s="7" t="str">
        <f t="shared" si="260"/>
        <v xml:space="preserve">WY </v>
      </c>
      <c r="M1376" s="7" t="str">
        <f t="shared" si="261"/>
        <v xml:space="preserve">WY </v>
      </c>
      <c r="N1376" s="9">
        <f t="shared" si="265"/>
        <v>43.97</v>
      </c>
      <c r="O1376" s="9">
        <f t="shared" si="266"/>
        <v>107.97</v>
      </c>
    </row>
    <row r="1377" spans="1:15" x14ac:dyDescent="0.2">
      <c r="A1377" s="1" t="s">
        <v>2695</v>
      </c>
      <c r="B1377" s="2">
        <v>44.55</v>
      </c>
      <c r="C1377" s="2">
        <v>110.42</v>
      </c>
      <c r="D1377" s="2" t="s">
        <v>2696</v>
      </c>
      <c r="H1377" s="2" t="s">
        <v>3857</v>
      </c>
      <c r="J1377" s="7" t="str">
        <f t="shared" si="263"/>
        <v>Yellowstone</v>
      </c>
      <c r="K1377" s="7" t="str">
        <f t="shared" si="264"/>
        <v xml:space="preserve">WY  </v>
      </c>
      <c r="L1377" s="7" t="str">
        <f t="shared" si="260"/>
        <v xml:space="preserve">WY </v>
      </c>
      <c r="M1377" s="7" t="str">
        <f t="shared" si="261"/>
        <v xml:space="preserve">WY </v>
      </c>
      <c r="N1377" s="9">
        <f t="shared" si="265"/>
        <v>44.55</v>
      </c>
      <c r="O1377" s="9">
        <f t="shared" si="266"/>
        <v>110.42</v>
      </c>
    </row>
    <row r="1381" spans="1:15" x14ac:dyDescent="0.2">
      <c r="A1381" s="5" t="s">
        <v>2697</v>
      </c>
      <c r="B1381" s="2" t="s">
        <v>2698</v>
      </c>
      <c r="C1381" s="2" t="s">
        <v>2699</v>
      </c>
      <c r="D1381" s="2" t="s">
        <v>2700</v>
      </c>
      <c r="E1381" s="2" t="s">
        <v>2701</v>
      </c>
      <c r="F1381" s="2" t="s">
        <v>2702</v>
      </c>
    </row>
    <row r="1382" spans="1:15" x14ac:dyDescent="0.2">
      <c r="A1382" s="6" t="s">
        <v>2703</v>
      </c>
      <c r="B1382" s="2" t="s">
        <v>2704</v>
      </c>
      <c r="C1382" s="2" t="s">
        <v>2705</v>
      </c>
      <c r="D1382" s="2" t="s">
        <v>2706</v>
      </c>
      <c r="E1382" s="2" t="s">
        <v>2707</v>
      </c>
    </row>
  </sheetData>
  <hyperlinks>
    <hyperlink ref="A1381" r:id="rId1" display="mailto:info@realestate3d.com"/>
    <hyperlink ref="A2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Center_Cities</vt:lpstr>
      <vt:lpstr>Cities</vt:lpstr>
      <vt:lpstr>Raw List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M_Shambon</dc:creator>
  <cp:lastModifiedBy>M_Shambon</cp:lastModifiedBy>
  <dcterms:created xsi:type="dcterms:W3CDTF">2021-04-15T00:45:07Z</dcterms:created>
  <dcterms:modified xsi:type="dcterms:W3CDTF">2022-10-02T14:57:51Z</dcterms:modified>
</cp:coreProperties>
</file>